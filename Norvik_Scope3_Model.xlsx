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mal\OneDrive\Documents\Documents for Uni\Projects\"/>
    </mc:Choice>
  </mc:AlternateContent>
  <xr:revisionPtr revIDLastSave="0" documentId="13_ncr:1_{9144F3BC-90B3-4CA1-A039-554B86E453EF}" xr6:coauthVersionLast="47" xr6:coauthVersionMax="47" xr10:uidLastSave="{00000000-0000-0000-0000-000000000000}"/>
  <bookViews>
    <workbookView xWindow="-98" yWindow="-98" windowWidth="21795" windowHeight="12975" tabRatio="500" firstSheet="1" activeTab="4" xr2:uid="{00000000-000D-0000-FFFF-FFFF00000000}"/>
  </bookViews>
  <sheets>
    <sheet name="📋 README" sheetId="1" r:id="rId1"/>
    <sheet name="⚙️ Assumptions" sheetId="2" r:id="rId2"/>
    <sheet name="🚢 Cat4 Transport" sheetId="3" r:id="rId3"/>
    <sheet name="🌾 Cat1 Materials" sheetId="4" r:id="rId4"/>
    <sheet name="📊 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5" l="1"/>
  <c r="D33" i="5"/>
  <c r="E32" i="5"/>
  <c r="D32" i="5"/>
  <c r="E31" i="5"/>
  <c r="D31" i="5"/>
  <c r="E30" i="5"/>
  <c r="D30" i="5"/>
  <c r="E29" i="5"/>
  <c r="D29" i="5"/>
  <c r="E28" i="5"/>
  <c r="D28" i="5"/>
  <c r="D27" i="5"/>
  <c r="G14" i="5"/>
  <c r="G13" i="5"/>
  <c r="G12" i="5"/>
  <c r="G11" i="5"/>
  <c r="G10" i="5"/>
  <c r="G9" i="5"/>
  <c r="G8" i="5"/>
  <c r="F4" i="5"/>
  <c r="E4" i="5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M11" i="3"/>
  <c r="M10" i="3"/>
  <c r="M9" i="3"/>
  <c r="M8" i="3"/>
  <c r="M7" i="3"/>
  <c r="M6" i="3"/>
  <c r="M5" i="3"/>
  <c r="M12" i="3" s="1"/>
  <c r="I11" i="4"/>
  <c r="J11" i="4" s="1"/>
  <c r="F11" i="4"/>
  <c r="J10" i="4"/>
  <c r="I10" i="4"/>
  <c r="F10" i="4"/>
  <c r="J9" i="4"/>
  <c r="I9" i="4"/>
  <c r="F9" i="4"/>
  <c r="J8" i="4"/>
  <c r="I8" i="4"/>
  <c r="F8" i="4"/>
  <c r="I7" i="4"/>
  <c r="J7" i="4" s="1"/>
  <c r="F7" i="4"/>
  <c r="J6" i="4"/>
  <c r="I6" i="4"/>
  <c r="F6" i="4"/>
  <c r="I5" i="4"/>
  <c r="J5" i="4" s="1"/>
  <c r="F5" i="4"/>
  <c r="E8" i="4"/>
  <c r="G8" i="4" s="1"/>
  <c r="H8" i="4" s="1"/>
  <c r="E5" i="4" a="1"/>
  <c r="E11" i="4" s="1"/>
  <c r="G11" i="4" s="1"/>
  <c r="H11" i="4" s="1"/>
  <c r="D5" i="4" a="1"/>
  <c r="D10" i="4" s="1"/>
  <c r="C5" i="4" a="1"/>
  <c r="C6" i="4" s="1"/>
  <c r="B8" i="4"/>
  <c r="B5" i="4" a="1"/>
  <c r="B11" i="4" s="1"/>
  <c r="H11" i="3"/>
  <c r="J11" i="3" s="1"/>
  <c r="K11" i="3" s="1"/>
  <c r="H10" i="3"/>
  <c r="J10" i="3" s="1"/>
  <c r="K10" i="3" s="1"/>
  <c r="H9" i="3"/>
  <c r="J9" i="3" s="1"/>
  <c r="K9" i="3" s="1"/>
  <c r="H8" i="3"/>
  <c r="J8" i="3" s="1"/>
  <c r="K8" i="3" s="1"/>
  <c r="H7" i="3"/>
  <c r="J7" i="3" s="1"/>
  <c r="K7" i="3" s="1"/>
  <c r="H6" i="3"/>
  <c r="J6" i="3" s="1"/>
  <c r="K6" i="3" s="1"/>
  <c r="C9" i="2"/>
  <c r="H5" i="3" s="1"/>
  <c r="J5" i="3" s="1"/>
  <c r="B14" i="5"/>
  <c r="B13" i="5"/>
  <c r="B12" i="5"/>
  <c r="B11" i="5"/>
  <c r="B10" i="5"/>
  <c r="B9" i="5"/>
  <c r="B8" i="5"/>
  <c r="E14" i="5" l="1"/>
  <c r="E11" i="5"/>
  <c r="D9" i="5"/>
  <c r="D10" i="5"/>
  <c r="D11" i="5"/>
  <c r="K5" i="3"/>
  <c r="J12" i="3"/>
  <c r="D12" i="5"/>
  <c r="D13" i="5"/>
  <c r="D14" i="5"/>
  <c r="F14" i="5" s="1"/>
  <c r="B5" i="4"/>
  <c r="C8" i="4"/>
  <c r="E5" i="4"/>
  <c r="G5" i="4" s="1"/>
  <c r="C7" i="4"/>
  <c r="C9" i="4"/>
  <c r="D9" i="4"/>
  <c r="B6" i="4"/>
  <c r="C10" i="4"/>
  <c r="E6" i="4"/>
  <c r="G6" i="4" s="1"/>
  <c r="H6" i="4" s="1"/>
  <c r="B7" i="4"/>
  <c r="C11" i="4"/>
  <c r="E7" i="4"/>
  <c r="G7" i="4" s="1"/>
  <c r="H7" i="4" s="1"/>
  <c r="E9" i="4"/>
  <c r="G9" i="4" s="1"/>
  <c r="H9" i="4" s="1"/>
  <c r="D11" i="4"/>
  <c r="D5" i="4"/>
  <c r="B9" i="4"/>
  <c r="B10" i="4"/>
  <c r="D6" i="4"/>
  <c r="E10" i="4"/>
  <c r="G10" i="4" s="1"/>
  <c r="H10" i="4" s="1"/>
  <c r="D7" i="4"/>
  <c r="C5" i="4"/>
  <c r="D8" i="4"/>
  <c r="E10" i="5" l="1"/>
  <c r="E9" i="5"/>
  <c r="F10" i="5"/>
  <c r="F9" i="5"/>
  <c r="E13" i="5"/>
  <c r="F13" i="5" s="1"/>
  <c r="H5" i="4"/>
  <c r="G12" i="4"/>
  <c r="K12" i="3"/>
  <c r="D8" i="5"/>
  <c r="H14" i="5"/>
  <c r="I14" i="5" s="1"/>
  <c r="E12" i="5"/>
  <c r="F12" i="5" s="1"/>
  <c r="F11" i="5"/>
  <c r="H12" i="5" l="1"/>
  <c r="I12" i="5" s="1"/>
  <c r="H13" i="5"/>
  <c r="I13" i="5"/>
  <c r="H4" i="5"/>
  <c r="G4" i="5"/>
  <c r="C4" i="5"/>
  <c r="B4" i="5"/>
  <c r="H12" i="4"/>
  <c r="E8" i="5"/>
  <c r="E15" i="5" s="1"/>
  <c r="H11" i="5"/>
  <c r="I11" i="5" s="1"/>
  <c r="H9" i="5"/>
  <c r="I9" i="5"/>
  <c r="D15" i="5"/>
  <c r="H10" i="5"/>
  <c r="I10" i="5" s="1"/>
  <c r="F8" i="5" l="1"/>
  <c r="D4" i="5"/>
  <c r="F15" i="5" l="1"/>
  <c r="H8" i="5"/>
  <c r="H15" i="5" s="1"/>
  <c r="I8" i="5" l="1"/>
  <c r="I15" i="5" s="1"/>
  <c r="C27" i="5"/>
</calcChain>
</file>

<file path=xl/sharedStrings.xml><?xml version="1.0" encoding="utf-8"?>
<sst xmlns="http://schemas.openxmlformats.org/spreadsheetml/2006/main" count="250" uniqueCount="191">
  <si>
    <t>Model Structure</t>
  </si>
  <si>
    <t>Sheet</t>
  </si>
  <si>
    <t>Purpose</t>
  </si>
  <si>
    <t>📋 README</t>
  </si>
  <si>
    <t>⚙️ Assumptions</t>
  </si>
  <si>
    <t>All hardcoded inputs (emission factors, unit costs). Edit here only.</t>
  </si>
  <si>
    <t>🚢 Cat4 Transport</t>
  </si>
  <si>
    <t>🌾 Cat1 Materials</t>
  </si>
  <si>
    <t>📊 Dashboard</t>
  </si>
  <si>
    <t>Aggregated Scope 3 results, hotspot matrix &amp; 2030 target tracker</t>
  </si>
  <si>
    <t>Instructions</t>
  </si>
  <si>
    <t>Colour convention:</t>
  </si>
  <si>
    <t>Blue text = hardcoded input  |  Black = formula  |  Green = cross-sheet link  |  Yellow bg = cell you must fill in</t>
  </si>
  <si>
    <t>Step 1:</t>
  </si>
  <si>
    <t>Step 2:</t>
  </si>
  <si>
    <t>Step 3:</t>
  </si>
  <si>
    <t>Step 4:</t>
  </si>
  <si>
    <t>Limitation note:</t>
  </si>
  <si>
    <t>All emission factors use Tier 2 (DEFRA 2024) or Tier 3 (industry average) data. Document this as a methodology limitation in your report.</t>
  </si>
  <si>
    <t>⚙️  ASSUMPTIONS &amp; EMISSION FACTORS</t>
  </si>
  <si>
    <t>A.  Transport Emission Factors  (Category 4)</t>
  </si>
  <si>
    <t>Transport Mode</t>
  </si>
  <si>
    <t>EF (kgCO₂e / tonne-km)</t>
  </si>
  <si>
    <t>Unit</t>
  </si>
  <si>
    <t>Source</t>
  </si>
  <si>
    <t>Sea freight</t>
  </si>
  <si>
    <t>kgCO₂e/t-km</t>
  </si>
  <si>
    <t>DEFRA 2024, Heavy fuel oil vessel average</t>
  </si>
  <si>
    <t>Air freight</t>
  </si>
  <si>
    <t>DEFRA 2024, Long-haul belly freight</t>
  </si>
  <si>
    <t>Road freight (HGV)</t>
  </si>
  <si>
    <t>DEFRA 2024, 26-32t laden average</t>
  </si>
  <si>
    <t>Rail freight</t>
  </si>
  <si>
    <t>DEFRA 2024, European average</t>
  </si>
  <si>
    <t>Multimodal (sea+rail)</t>
  </si>
  <si>
    <t>Weighted blend: 60% sea / 40% rail (assumption)</t>
  </si>
  <si>
    <t>Named Ranges (used in formulas):</t>
  </si>
  <si>
    <t xml:space="preserve">  → Cells C5:C9 are referenced directly by name in Cat4 sheet formulas.</t>
  </si>
  <si>
    <t>B.  Material Emission Factors  (Category 1)</t>
  </si>
  <si>
    <t>Material</t>
  </si>
  <si>
    <t>EF (kgCO₂e / kg)</t>
  </si>
  <si>
    <t>Source / Notes</t>
  </si>
  <si>
    <t>Organic cotton yarn</t>
  </si>
  <si>
    <t>kgCO₂e/kg</t>
  </si>
  <si>
    <t>SAC Higg MSI 2023 / Textile Exchange</t>
  </si>
  <si>
    <t>Cut &amp; sewn cotton T-shirt</t>
  </si>
  <si>
    <t>Industry avg. incl. manufacturing energy (ecoinvent 3.9)</t>
  </si>
  <si>
    <t>Knitted wool garment</t>
  </si>
  <si>
    <t>Recycled polyester fabric</t>
  </si>
  <si>
    <t>Raw Merino wool tops</t>
  </si>
  <si>
    <t>Dyed &amp; finished fabric</t>
  </si>
  <si>
    <t>Base fibre ~3.5 + dyeing energy add-on ~1.7 (ZDHC est.)</t>
  </si>
  <si>
    <t>Recycled nylon (zips)</t>
  </si>
  <si>
    <t>Supplier Name</t>
  </si>
  <si>
    <t>Est. Annual Spend (€)</t>
  </si>
  <si>
    <t>Spend EF Sector</t>
  </si>
  <si>
    <t>Spend EF (kgCO₂e / €)</t>
  </si>
  <si>
    <t>Shanxi Cotton Co.</t>
  </si>
  <si>
    <t>PT Garuda Tekstil</t>
  </si>
  <si>
    <t>Textil Maroc SA</t>
  </si>
  <si>
    <t>Far East Poly Ltd.</t>
  </si>
  <si>
    <t>Nordic Wool AS</t>
  </si>
  <si>
    <t>Chennai Dye Works</t>
  </si>
  <si>
    <t>EcoZip Taiwan</t>
  </si>
  <si>
    <t>D.  Reduction Target Parameters</t>
  </si>
  <si>
    <t>Parameter</t>
  </si>
  <si>
    <t>Value</t>
  </si>
  <si>
    <t>Notes</t>
  </si>
  <si>
    <t>Base Year</t>
  </si>
  <si>
    <t>Year</t>
  </si>
  <si>
    <t>Target Year</t>
  </si>
  <si>
    <t>Norvik SBTi commitment deadline</t>
  </si>
  <si>
    <t>Reduction Target (%)</t>
  </si>
  <si>
    <t>%</t>
  </si>
  <si>
    <t>30% absolute reduction from base year</t>
  </si>
  <si>
    <t>Interim Target 2027 (%)</t>
  </si>
  <si>
    <t>Supplier Engagement Strategy Tier A milestone</t>
  </si>
  <si>
    <t>Formula: Emissions (kgCO₂e) = Volume (kg) ÷ 1,000 × Distance (km) × Emission Factor (kgCO₂e/tonne-km)</t>
  </si>
  <si>
    <t>Location</t>
  </si>
  <si>
    <t>Material Provided</t>
  </si>
  <si>
    <t>Annual Volume
(kg)</t>
  </si>
  <si>
    <t>Distance to
Hamburg (km)</t>
  </si>
  <si>
    <t>EF Used
(kgCO₂e/t-km)</t>
  </si>
  <si>
    <t>EF Source Cell</t>
  </si>
  <si>
    <t>Transport
Emissions (kgCO₂e)</t>
  </si>
  <si>
    <t>Transport
Emissions (tCO₂e)</t>
  </si>
  <si>
    <t>Notes / Flags</t>
  </si>
  <si>
    <t>% of Cat4
Total</t>
  </si>
  <si>
    <t>Zhengzhou, China</t>
  </si>
  <si>
    <t>Assumptions!C9</t>
  </si>
  <si>
    <t>Multimodal: sea Shanghai→Hamburg + rail inland</t>
  </si>
  <si>
    <t>Bandung, Indonesia</t>
  </si>
  <si>
    <t>Cut &amp; sewn cotton T-shirts</t>
  </si>
  <si>
    <t>Assumptions!C5</t>
  </si>
  <si>
    <t>Assume avg 450g/unit × 420,000 units</t>
  </si>
  <si>
    <t>Casablanca, Morocco</t>
  </si>
  <si>
    <t>Knitted wool garments</t>
  </si>
  <si>
    <t>Assumptions!C7</t>
  </si>
  <si>
    <t>Assume avg 600g/unit × 180,000 units</t>
  </si>
  <si>
    <t>Ho Chi Minh City, Vietnam</t>
  </si>
  <si>
    <t>Stavanger, Norway</t>
  </si>
  <si>
    <t>Shortest route; lowest transport footprint</t>
  </si>
  <si>
    <t>Chennai, India</t>
  </si>
  <si>
    <t>Taichung, Taiwan</t>
  </si>
  <si>
    <t>Recycled nylon zips &amp; trims</t>
  </si>
  <si>
    <t>Assumptions!C6</t>
  </si>
  <si>
    <t>📌  Methodology Note: Activity data = Volume (kg) ÷ 1,000 × Distance (km) = tonne-km. Emission factors from DEFRA 2024 Greenhouse Gas Conversion Factors (freight transport). T-shirt &amp; garment volumes converted to kg using assumed unit weights (noted in column Notes). Multimodal EF = weighted blend of 60% sea + 40% rail (see Assumptions C9).</t>
  </si>
  <si>
    <t>Formula: Emissions (kgCO₂e) = Volume (kg) × Material EF (kgCO₂e/kg)  |  Cross-check: Spend (€) × Spend EF (kgCO₂e/€)  |  Yellow cells = enter your estimates</t>
  </si>
  <si>
    <t>Material EF
(kgCO₂e/kg)</t>
  </si>
  <si>
    <t>Cat1 Emissions
(kgCO₂e)
[Physical method]</t>
  </si>
  <si>
    <t>Cat1 Emissions
(tCO₂e)</t>
  </si>
  <si>
    <t>Est. Spend (€)
[enter in Assumptions C]</t>
  </si>
  <si>
    <t>Spend-based
Emissions (tCO₂e)
[cross-check]</t>
  </si>
  <si>
    <t>Variance
[Physical vs Spend]</t>
  </si>
  <si>
    <t>% of Cat1
Total</t>
  </si>
  <si>
    <t>100.0%</t>
  </si>
  <si>
    <t>Total Scope 3
(tCO₂e)</t>
  </si>
  <si>
    <t>Category 4
Transport</t>
  </si>
  <si>
    <t>Category 1
Materials</t>
  </si>
  <si>
    <t>Cat1 Share
of Total</t>
  </si>
  <si>
    <t>Cat4 Share
of Total</t>
  </si>
  <si>
    <t>2030 Target
(tCO₂e)</t>
  </si>
  <si>
    <t>Required
Reduction</t>
  </si>
  <si>
    <t>Supplier Emissions Summary  (Cat1 + Cat4 combined)</t>
  </si>
  <si>
    <t>Cat4 tCO₂e</t>
  </si>
  <si>
    <t>Cat1 tCO₂e</t>
  </si>
  <si>
    <t>Total tCO₂e</t>
  </si>
  <si>
    <t>% of Scope 3 Total</t>
  </si>
  <si>
    <t>2030 Target
(−30%)</t>
  </si>
  <si>
    <t>Reduction
Required (tCO₂e)</t>
  </si>
  <si>
    <t>Tier</t>
  </si>
  <si>
    <t>Tier Key</t>
  </si>
  <si>
    <t>A</t>
  </si>
  <si>
    <t>B</t>
  </si>
  <si>
    <t>C</t>
  </si>
  <si>
    <t>⚠️  From 2028: contract renewals include a minimum emissions performance clause. Two consecutive years of no data = contract review.</t>
  </si>
  <si>
    <t>TOTAL Scope 3</t>
  </si>
  <si>
    <t>Supplier / Flag</t>
  </si>
  <si>
    <t>Insight &amp; Decarbonisation Lever</t>
  </si>
  <si>
    <t>8.7% of total Scope 3 (395 tCO₂e). Dyeing &amp; finishing is energy and water intensive. Key levers: renewable energy switch, waterless dyeing technology (e.g. DyeCoo). Tier B.</t>
  </si>
  <si>
    <t>2030 Target Progress Tracker  (update annually)</t>
  </si>
  <si>
    <t>Reporting Year</t>
  </si>
  <si>
    <t>Scope 3 Actual
(tCO₂e)</t>
  </si>
  <si>
    <t>vs Base Year
(% change)</t>
  </si>
  <si>
    <t>On Track?</t>
  </si>
  <si>
    <t>✅ Base Year</t>
  </si>
  <si>
    <t>BASE YEAR</t>
  </si>
  <si>
    <t>Interim target: −15%</t>
  </si>
  <si>
    <t>Final target: −30%</t>
  </si>
  <si>
    <t>Norvik Apparel GmbH - Scope 3 Carbon Accounting Model</t>
  </si>
  <si>
    <t>GHG Protocol Scope 3 - Categories 1 &amp; 4  |  Base Year: 2024  |  Portfolio Project</t>
  </si>
  <si>
    <t>This page - model overview, instructions &amp; assumptions log</t>
  </si>
  <si>
    <t>Category 4 - Upstream Transport emissions per supplier (formula-driven)</t>
  </si>
  <si>
    <t>Category 1 - Purchased Goods &amp; Services emissions per supplier</t>
  </si>
  <si>
    <t>Go to ⚙️ Assumptions - review every emission factor and unit cost. Sources are noted beside each value.</t>
  </si>
  <si>
    <t>Go to 🚢 Cat4 Transport - all formulas are pre-built. Your transport data is loaded; results calculate automatically.</t>
  </si>
  <si>
    <t>Go to 🌾 Cat1 Materials - review material emission factors. Yellow cells need your supplier spend data (€).</t>
  </si>
  <si>
    <t>Go to 📊 Dashboard - once Cat1 and Cat4 are complete, the dashboard auto-populates your Scope 3 total.</t>
  </si>
  <si>
    <t>SAC Higg MSI 2023 - Merino wool, incl. enteric fermentation</t>
  </si>
  <si>
    <t>Textile Exchange 2023 - rPET vs. 9.5 virgin PET</t>
  </si>
  <si>
    <t>SAC Higg MSI 2023 - raw fibre, land use + CH4</t>
  </si>
  <si>
    <t>Textile Exchange 2023 - rPA6 vs. 14.5 virgin nylon</t>
  </si>
  <si>
    <t>C.  Supplier Spend Data  (for spend-based cross-check - enter your estimates)</t>
  </si>
  <si>
    <t>Textile - yarn manufacturing</t>
  </si>
  <si>
    <t>Apparel - cut &amp; sew</t>
  </si>
  <si>
    <t>Apparel - knitting</t>
  </si>
  <si>
    <t>Textile - synthetic fabric</t>
  </si>
  <si>
    <t>Agriculture - livestock</t>
  </si>
  <si>
    <t>Textile - dyeing &amp; finishing</t>
  </si>
  <si>
    <t>Apparel - accessories</t>
  </si>
  <si>
    <t>GHG Protocol base year - do not change</t>
  </si>
  <si>
    <t>🚢  CATEGORY 4 - Upstream Transportation &amp; Distribution</t>
  </si>
  <si>
    <t>⚠️ AIR FREIGHT - highest EF; convert to sea = quick win</t>
  </si>
  <si>
    <t>TOTAL - Category 4</t>
  </si>
  <si>
    <t>🌾  CATEGORY 1 - Purchased Goods &amp; Services</t>
  </si>
  <si>
    <t>TOTAL - Category 1</t>
  </si>
  <si>
    <t>📌  Methodology Note: Physical intensity method used as primary calculation. Material emission factors from SAC Higg MSI 2023, Textile Exchange 2023, and ecoinvent 3.9. Spend-based method (EXIOBASE sector averages) used as cross-check only - enter spend values in ⚙️ Assumptions Sheet C. T-shirt weight assumed 450g/unit; wool garment assumed 600g/unit. Update these in column D if you have better data.</t>
  </si>
  <si>
    <t>📊  SCOPE 3 DASHBOARD - Norvik Apparel GmbH  |  Base Year 2024</t>
  </si>
  <si>
    <t>Strategic Partners - &gt;30% Scope 3 or critical material.
Require: Annual CDP disclosure + joint roadmap.
Offer: Co-investment, volume guarantees.</t>
  </si>
  <si>
    <t>Development Partners - 10–30% share or high energy intensity.
Require: GHG self-assessment, 2-yr improvement plan.
Offer: Training, measurement tools.</t>
  </si>
  <si>
    <t>Monitored Suppliers - &lt;10% share.
Require: Annual self-assessment questionnaire.
Escalate or flag for substitution if non-responsive.</t>
  </si>
  <si>
    <t>Hotspot Analysis - Key Insights to Document in Your Report</t>
  </si>
  <si>
    <t>🔴 #1 Highest priority - Textil Maroc SA</t>
  </si>
  <si>
    <t xml:space="preserve">44% of total Scope 3 (2,014 tCO₂e). Driver is knitted wool at 18.5 kgCO₂e/kg × 108t - NOT transport. Key levers: (1) transition to recycled wool blend (EF ~3.5 kgCO₂e/kg = ~81% reduction per kg); (2) require supplier energy audit. Tier B - escalate to Tier A immediately given emissions share. </t>
  </si>
  <si>
    <t>🔴 #2 High priority - PT Garuda Tekstil</t>
  </si>
  <si>
    <t>19.5% of total Scope 3 (886 tCO₂e). Largest volume supplier (420k units). Even a 10% manufacturing energy efficiency improvement yields ~85 tCO₂e reduction. Key levers: renewable energy tariff, lean production. Tier A - require annual CDP disclosure and joint roadmap.</t>
  </si>
  <si>
    <t>🟡 #3 Medium priority - Nordic Wool AS</t>
  </si>
  <si>
    <t>14.7% of total Scope 3 (669 tCO₂e). Despite shortest distance (1,650 km), raw Merino wool EF of 23.8 kgCO₂e/kg drives high Cat1 emissions. Key lever: switch to certified recycled Merino or blended fibre. Supplier is in Norway - likely open to sustainability dialogue. Tier B.</t>
  </si>
  <si>
    <t>🟡 #4 Medium priority - Chennai Dye Works</t>
  </si>
  <si>
    <t>🟢 #5–7 Lower priority - Shanxi, Far East Poly, EcoZip Taiwan</t>
  </si>
  <si>
    <t>Shanxi (7.3%) and Far East Poly (4.5%) - material substitution already partially addressed via organic cotton and rPET. EcoZip Taiwan (1.2% total) is tiny in absolute terms BUT uses air freight - mode shift to sea is the single easiest quick win in the whole model (saves ~21 tCO₂e at near-zero cost). Flag for immediate commercial conversation.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</si>
</sst>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_-[$€-2]\ * #,##0_-;\-[$€-2]\ * #,##0_-;_-[$€-2]\ * \-??_-;_-@_-"/>
    <numFmt numFmtId="167" formatCode="0.0%;\(0.0%\);\—"/>
    <numFmt numFmtId="168" formatCode="0.0%"/>
    <numFmt numFmtId="169" formatCode="0.0%;\(0.0%\);\-"/>
  </numFmts>
  <fonts count="35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  <charset val="1"/>
    </font>
    <font>
      <i/>
      <sz val="10"/>
      <color rgb="FF2D6A4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2D6A4F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10"/>
      <color rgb="FF666666"/>
      <name val="Arial"/>
      <family val="2"/>
      <charset val="1"/>
    </font>
    <font>
      <i/>
      <sz val="9"/>
      <color rgb="FF555555"/>
      <name val="Arial"/>
      <family val="2"/>
      <charset val="1"/>
    </font>
    <font>
      <i/>
      <sz val="9"/>
      <color rgb="FF666666"/>
      <name val="Arial"/>
      <family val="2"/>
      <charset val="1"/>
    </font>
    <font>
      <i/>
      <sz val="9"/>
      <color rgb="FF2D6A4F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rgb="FF008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CC0000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sz val="14"/>
      <color rgb="FF1A3C34"/>
      <name val="Arial"/>
      <family val="2"/>
      <charset val="1"/>
    </font>
    <font>
      <b/>
      <sz val="9"/>
      <color rgb="FFFFFFFF"/>
      <name val="Arial"/>
      <family val="2"/>
    </font>
    <font>
      <sz val="10"/>
      <color rgb="FF2D6A4F"/>
      <name val="Arial"/>
      <family val="2"/>
      <charset val="1"/>
    </font>
    <font>
      <b/>
      <sz val="10"/>
      <color rgb="FFCC3300"/>
      <name val="Arial"/>
      <family val="2"/>
      <charset val="1"/>
    </font>
    <font>
      <b/>
      <sz val="11"/>
      <color rgb="FF8B0000"/>
      <name val="Arial"/>
      <family val="2"/>
    </font>
    <font>
      <b/>
      <sz val="14"/>
      <color rgb="FF8B0000"/>
      <name val="Arial"/>
      <family val="2"/>
    </font>
    <font>
      <sz val="8"/>
      <name val="Arial"/>
      <family val="2"/>
    </font>
    <font>
      <b/>
      <sz val="14"/>
      <color rgb="FF856404"/>
      <name val="Arial"/>
      <family val="2"/>
    </font>
    <font>
      <b/>
      <sz val="11"/>
      <color rgb="FF155724"/>
      <name val="Arial"/>
      <family val="2"/>
    </font>
    <font>
      <b/>
      <sz val="11"/>
      <color rgb="FF856404"/>
      <name val="Arial"/>
      <family val="2"/>
    </font>
    <font>
      <b/>
      <sz val="14"/>
      <color rgb="FF155724"/>
      <name val="Arial"/>
      <family val="2"/>
    </font>
    <font>
      <b/>
      <sz val="8"/>
      <color rgb="FF856404"/>
      <name val="Arial"/>
      <family val="2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10"/>
      <color rgb="FF00800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34"/>
        <bgColor rgb="FF155724"/>
      </patternFill>
    </fill>
    <fill>
      <patternFill patternType="solid">
        <fgColor rgb="FFEBF5EE"/>
        <bgColor rgb="FFFFF9E6"/>
      </patternFill>
    </fill>
    <fill>
      <patternFill patternType="solid">
        <fgColor rgb="FF2D6A4F"/>
        <bgColor rgb="FF155724"/>
      </patternFill>
    </fill>
    <fill>
      <patternFill patternType="solid">
        <fgColor rgb="FF52B788"/>
        <bgColor rgb="FF33CCCC"/>
      </patternFill>
    </fill>
    <fill>
      <patternFill patternType="solid">
        <fgColor rgb="FFD8F3DC"/>
        <bgColor rgb="FFEBF5EE"/>
      </patternFill>
    </fill>
    <fill>
      <patternFill patternType="solid">
        <fgColor rgb="FFFFFFFF"/>
        <bgColor rgb="FFFFF9E6"/>
      </patternFill>
    </fill>
    <fill>
      <patternFill patternType="solid">
        <fgColor rgb="FFFFF3CD"/>
        <bgColor rgb="FFFFF9E6"/>
      </patternFill>
    </fill>
    <fill>
      <patternFill patternType="solid">
        <fgColor rgb="FFFFE5E5"/>
        <bgColor rgb="FFFFD7D7"/>
      </patternFill>
    </fill>
    <fill>
      <patternFill patternType="solid">
        <fgColor rgb="FFFFF9E6"/>
        <bgColor rgb="FFFFFFFF"/>
      </patternFill>
    </fill>
    <fill>
      <patternFill patternType="solid">
        <fgColor rgb="FFFFD7D7"/>
        <bgColor rgb="FFFFE5E5"/>
      </patternFill>
    </fill>
  </fills>
  <borders count="4">
    <border>
      <left/>
      <right/>
      <top/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 style="thin">
        <color rgb="FFCED4DA"/>
      </left>
      <right style="thin">
        <color rgb="FFCED4DA"/>
      </right>
      <top style="thin">
        <color rgb="FFCED4DA"/>
      </top>
      <bottom/>
      <diagonal/>
    </border>
    <border>
      <left style="thin">
        <color rgb="FFCED4DA"/>
      </left>
      <right/>
      <top style="medium">
        <color rgb="FF856404"/>
      </top>
      <bottom style="thin">
        <color rgb="FFCED4DA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164" fontId="7" fillId="8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165" fontId="7" fillId="8" borderId="1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2" fontId="7" fillId="8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1" fontId="7" fillId="8" borderId="1" xfId="0" applyNumberFormat="1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3" fontId="7" fillId="8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167" fontId="5" fillId="6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3" fontId="15" fillId="7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167" fontId="5" fillId="7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68" fontId="4" fillId="4" borderId="1" xfId="0" applyNumberFormat="1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center" vertical="center" wrapText="1"/>
    </xf>
    <xf numFmtId="3" fontId="13" fillId="10" borderId="1" xfId="0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/>
    </xf>
    <xf numFmtId="4" fontId="17" fillId="6" borderId="1" xfId="0" applyNumberFormat="1" applyFont="1" applyFill="1" applyBorder="1" applyAlignment="1">
      <alignment horizontal="center" vertical="center" wrapText="1"/>
    </xf>
    <xf numFmtId="165" fontId="13" fillId="7" borderId="1" xfId="0" applyNumberFormat="1" applyFont="1" applyFill="1" applyBorder="1" applyAlignment="1">
      <alignment horizontal="center" vertical="center" wrapText="1"/>
    </xf>
    <xf numFmtId="3" fontId="15" fillId="7" borderId="1" xfId="0" applyNumberFormat="1" applyFont="1" applyFill="1" applyBorder="1" applyAlignment="1">
      <alignment horizontal="center" vertical="center" wrapText="1"/>
    </xf>
    <xf numFmtId="4" fontId="6" fillId="7" borderId="1" xfId="0" applyNumberFormat="1" applyFont="1" applyFill="1" applyBorder="1" applyAlignment="1">
      <alignment horizontal="center" vertical="center" wrapText="1"/>
    </xf>
    <xf numFmtId="4" fontId="13" fillId="7" borderId="1" xfId="0" applyNumberFormat="1" applyFont="1" applyFill="1" applyBorder="1" applyAlignment="1">
      <alignment horizontal="center" vertical="center"/>
    </xf>
    <xf numFmtId="4" fontId="17" fillId="7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" fontId="18" fillId="6" borderId="1" xfId="0" applyNumberFormat="1" applyFont="1" applyFill="1" applyBorder="1" applyAlignment="1">
      <alignment horizontal="center" vertical="center" wrapText="1"/>
    </xf>
    <xf numFmtId="168" fontId="18" fillId="6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5" fillId="6" borderId="1" xfId="0" applyNumberFormat="1" applyFont="1" applyFill="1" applyBorder="1" applyAlignment="1">
      <alignment horizontal="center" vertical="center" wrapText="1"/>
    </xf>
    <xf numFmtId="4" fontId="20" fillId="6" borderId="1" xfId="0" applyNumberFormat="1" applyFont="1" applyFill="1" applyBorder="1" applyAlignment="1">
      <alignment horizontal="center" vertical="center" wrapText="1"/>
    </xf>
    <xf numFmtId="4" fontId="21" fillId="6" borderId="1" xfId="0" applyNumberFormat="1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4" fontId="13" fillId="7" borderId="1" xfId="0" applyNumberFormat="1" applyFont="1" applyFill="1" applyBorder="1" applyAlignment="1">
      <alignment horizontal="center" vertical="center" wrapText="1"/>
    </xf>
    <xf numFmtId="4" fontId="15" fillId="7" borderId="1" xfId="0" applyNumberFormat="1" applyFont="1" applyFill="1" applyBorder="1" applyAlignment="1">
      <alignment horizontal="center" vertical="center" wrapText="1"/>
    </xf>
    <xf numFmtId="4" fontId="20" fillId="7" borderId="1" xfId="0" applyNumberFormat="1" applyFont="1" applyFill="1" applyBorder="1" applyAlignment="1">
      <alignment horizontal="center" vertical="center" wrapText="1"/>
    </xf>
    <xf numFmtId="4" fontId="21" fillId="7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30" fillId="6" borderId="1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4" fontId="32" fillId="0" borderId="1" xfId="0" applyNumberFormat="1" applyFont="1" applyBorder="1" applyAlignment="1">
      <alignment horizontal="center" vertical="center" wrapText="1"/>
    </xf>
    <xf numFmtId="167" fontId="3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4" fontId="34" fillId="8" borderId="1" xfId="0" applyNumberFormat="1" applyFont="1" applyFill="1" applyBorder="1" applyAlignment="1">
      <alignment horizontal="center" vertical="center" wrapText="1"/>
    </xf>
    <xf numFmtId="169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169" fontId="5" fillId="6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left" vertical="center" wrapText="1"/>
    </xf>
    <xf numFmtId="0" fontId="25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left" vertical="center" wrapText="1"/>
    </xf>
    <xf numFmtId="0" fontId="28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left" vertical="center" wrapText="1"/>
    </xf>
    <xf numFmtId="0" fontId="29" fillId="10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56404"/>
      <rgbColor rgb="FF800080"/>
      <rgbColor rgb="FF2D6A4F"/>
      <rgbColor rgb="FFC0C0C0"/>
      <rgbColor rgb="FF888888"/>
      <rgbColor rgb="FF9999FF"/>
      <rgbColor rgb="FF993366"/>
      <rgbColor rgb="FFFFF3CD"/>
      <rgbColor rgb="FFEBF5EE"/>
      <rgbColor rgb="FF660066"/>
      <rgbColor rgb="FFFF8080"/>
      <rgbColor rgb="FF0066CC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5E5"/>
      <rgbColor rgb="FFD8F3DC"/>
      <rgbColor rgb="FFFFF9E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52B788"/>
      <rgbColor rgb="FF155724"/>
      <rgbColor rgb="FF333300"/>
      <rgbColor rgb="FFCC3300"/>
      <rgbColor rgb="FF993366"/>
      <rgbColor rgb="FF555555"/>
      <rgbColor rgb="FF1A3C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1"/>
  <sheetViews>
    <sheetView showGridLines="0" zoomScaleNormal="100" workbookViewId="0">
      <selection activeCell="G8" sqref="G8"/>
    </sheetView>
  </sheetViews>
  <sheetFormatPr defaultColWidth="8.6640625" defaultRowHeight="14.25" x14ac:dyDescent="0.45"/>
  <cols>
    <col min="1" max="1" width="2" customWidth="1"/>
    <col min="2" max="2" width="28" customWidth="1"/>
    <col min="3" max="3" width="60" customWidth="1"/>
    <col min="4" max="4" width="2" customWidth="1"/>
  </cols>
  <sheetData>
    <row r="1" spans="2:3" ht="15.75" customHeight="1" x14ac:dyDescent="0.45"/>
    <row r="2" spans="2:3" ht="15.75" customHeight="1" x14ac:dyDescent="0.45">
      <c r="B2" s="99" t="s">
        <v>149</v>
      </c>
      <c r="C2" s="99"/>
    </row>
    <row r="3" spans="2:3" ht="15.75" customHeight="1" x14ac:dyDescent="0.45">
      <c r="B3" s="99"/>
      <c r="C3" s="99"/>
    </row>
    <row r="4" spans="2:3" ht="15.75" customHeight="1" x14ac:dyDescent="0.45">
      <c r="B4" s="99"/>
      <c r="C4" s="99"/>
    </row>
    <row r="5" spans="2:3" ht="15.75" customHeight="1" x14ac:dyDescent="0.45">
      <c r="B5" s="100" t="s">
        <v>150</v>
      </c>
      <c r="C5" s="100"/>
    </row>
    <row r="7" spans="2:3" ht="18" customHeight="1" x14ac:dyDescent="0.45">
      <c r="B7" s="101" t="s">
        <v>0</v>
      </c>
      <c r="C7" s="101"/>
    </row>
    <row r="8" spans="2:3" ht="15.75" customHeight="1" x14ac:dyDescent="0.45">
      <c r="B8" s="1" t="s">
        <v>1</v>
      </c>
      <c r="C8" s="1" t="s">
        <v>2</v>
      </c>
    </row>
    <row r="9" spans="2:3" ht="14.25" customHeight="1" x14ac:dyDescent="0.45">
      <c r="B9" s="3" t="s">
        <v>3</v>
      </c>
      <c r="C9" s="3" t="s">
        <v>151</v>
      </c>
    </row>
    <row r="10" spans="2:3" ht="14.25" customHeight="1" x14ac:dyDescent="0.45">
      <c r="B10" s="4" t="s">
        <v>4</v>
      </c>
      <c r="C10" s="4" t="s">
        <v>5</v>
      </c>
    </row>
    <row r="11" spans="2:3" ht="25.5" customHeight="1" x14ac:dyDescent="0.45">
      <c r="B11" s="3" t="s">
        <v>6</v>
      </c>
      <c r="C11" s="3" t="s">
        <v>152</v>
      </c>
    </row>
    <row r="12" spans="2:3" ht="14.25" customHeight="1" x14ac:dyDescent="0.45">
      <c r="B12" s="4" t="s">
        <v>7</v>
      </c>
      <c r="C12" s="4" t="s">
        <v>153</v>
      </c>
    </row>
    <row r="13" spans="2:3" ht="14.25" customHeight="1" x14ac:dyDescent="0.45">
      <c r="B13" s="3" t="s">
        <v>8</v>
      </c>
      <c r="C13" s="3" t="s">
        <v>9</v>
      </c>
    </row>
    <row r="15" spans="2:3" ht="18" customHeight="1" x14ac:dyDescent="0.45">
      <c r="B15" s="101" t="s">
        <v>10</v>
      </c>
      <c r="C15" s="101"/>
    </row>
    <row r="16" spans="2:3" ht="27.75" customHeight="1" x14ac:dyDescent="0.45">
      <c r="B16" s="5" t="s">
        <v>11</v>
      </c>
      <c r="C16" s="3" t="s">
        <v>12</v>
      </c>
    </row>
    <row r="17" spans="2:3" ht="27.75" customHeight="1" x14ac:dyDescent="0.45">
      <c r="B17" s="6" t="s">
        <v>13</v>
      </c>
      <c r="C17" s="4" t="s">
        <v>154</v>
      </c>
    </row>
    <row r="18" spans="2:3" ht="27.75" customHeight="1" x14ac:dyDescent="0.45">
      <c r="B18" s="5" t="s">
        <v>14</v>
      </c>
      <c r="C18" s="3" t="s">
        <v>155</v>
      </c>
    </row>
    <row r="19" spans="2:3" ht="27.75" customHeight="1" x14ac:dyDescent="0.45">
      <c r="B19" s="6" t="s">
        <v>15</v>
      </c>
      <c r="C19" s="4" t="s">
        <v>156</v>
      </c>
    </row>
    <row r="20" spans="2:3" ht="27.75" customHeight="1" x14ac:dyDescent="0.45">
      <c r="B20" s="5" t="s">
        <v>16</v>
      </c>
      <c r="C20" s="3" t="s">
        <v>157</v>
      </c>
    </row>
    <row r="21" spans="2:3" ht="27.75" customHeight="1" x14ac:dyDescent="0.45">
      <c r="B21" s="6" t="s">
        <v>17</v>
      </c>
      <c r="C21" s="4" t="s">
        <v>18</v>
      </c>
    </row>
  </sheetData>
  <mergeCells count="4">
    <mergeCell ref="B2:C4"/>
    <mergeCell ref="B5:C5"/>
    <mergeCell ref="B7:C7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showGridLines="0" topLeftCell="A18" zoomScaleNormal="100" workbookViewId="0">
      <selection activeCell="E25" sqref="E25"/>
    </sheetView>
  </sheetViews>
  <sheetFormatPr defaultColWidth="8.6640625" defaultRowHeight="14.25" x14ac:dyDescent="0.45"/>
  <cols>
    <col min="1" max="1" width="2" customWidth="1"/>
    <col min="2" max="2" width="30" customWidth="1"/>
    <col min="3" max="3" width="22" customWidth="1"/>
    <col min="4" max="4" width="18" customWidth="1"/>
    <col min="5" max="5" width="50" customWidth="1"/>
    <col min="6" max="6" width="2" customWidth="1"/>
  </cols>
  <sheetData>
    <row r="1" spans="1:5" ht="25.5" customHeight="1" x14ac:dyDescent="0.45">
      <c r="A1" s="82" t="s">
        <v>19</v>
      </c>
      <c r="B1" s="82"/>
      <c r="C1" s="82"/>
      <c r="D1" s="82"/>
      <c r="E1" s="82"/>
    </row>
    <row r="3" spans="1:5" ht="19.5" customHeight="1" x14ac:dyDescent="0.45">
      <c r="A3" s="83" t="s">
        <v>20</v>
      </c>
      <c r="B3" s="83"/>
      <c r="C3" s="83"/>
      <c r="D3" s="83"/>
      <c r="E3" s="83"/>
    </row>
    <row r="4" spans="1:5" ht="15.75" customHeight="1" x14ac:dyDescent="0.45">
      <c r="B4" s="1" t="s">
        <v>21</v>
      </c>
      <c r="C4" s="1" t="s">
        <v>22</v>
      </c>
      <c r="D4" s="1" t="s">
        <v>23</v>
      </c>
      <c r="E4" s="1" t="s">
        <v>24</v>
      </c>
    </row>
    <row r="5" spans="1:5" ht="16.5" customHeight="1" x14ac:dyDescent="0.45">
      <c r="B5" s="3" t="s">
        <v>25</v>
      </c>
      <c r="C5" s="7">
        <v>1.6E-2</v>
      </c>
      <c r="D5" s="8" t="s">
        <v>26</v>
      </c>
      <c r="E5" s="9" t="s">
        <v>27</v>
      </c>
    </row>
    <row r="6" spans="1:5" ht="16.5" customHeight="1" x14ac:dyDescent="0.45">
      <c r="B6" s="4" t="s">
        <v>28</v>
      </c>
      <c r="C6" s="7">
        <v>0.60199999999999998</v>
      </c>
      <c r="D6" s="10" t="s">
        <v>26</v>
      </c>
      <c r="E6" s="11" t="s">
        <v>29</v>
      </c>
    </row>
    <row r="7" spans="1:5" ht="16.5" customHeight="1" x14ac:dyDescent="0.45">
      <c r="B7" s="3" t="s">
        <v>30</v>
      </c>
      <c r="C7" s="7">
        <v>6.2E-2</v>
      </c>
      <c r="D7" s="8" t="s">
        <v>26</v>
      </c>
      <c r="E7" s="9" t="s">
        <v>31</v>
      </c>
    </row>
    <row r="8" spans="1:5" ht="16.5" customHeight="1" x14ac:dyDescent="0.45">
      <c r="B8" s="4" t="s">
        <v>32</v>
      </c>
      <c r="C8" s="7">
        <v>2.8000000000000001E-2</v>
      </c>
      <c r="D8" s="10" t="s">
        <v>26</v>
      </c>
      <c r="E8" s="11" t="s">
        <v>33</v>
      </c>
    </row>
    <row r="9" spans="1:5" ht="16.5" customHeight="1" x14ac:dyDescent="0.45">
      <c r="B9" s="3" t="s">
        <v>34</v>
      </c>
      <c r="C9" s="12">
        <f>C5*0.6+C8*0.4</f>
        <v>2.0799999999999999E-2</v>
      </c>
      <c r="D9" s="8" t="s">
        <v>26</v>
      </c>
      <c r="E9" s="9" t="s">
        <v>35</v>
      </c>
    </row>
    <row r="10" spans="1:5" ht="13.5" customHeight="1" x14ac:dyDescent="0.45">
      <c r="B10" s="13" t="s">
        <v>36</v>
      </c>
    </row>
    <row r="11" spans="1:5" ht="15" customHeight="1" x14ac:dyDescent="0.45">
      <c r="B11" s="102" t="s">
        <v>37</v>
      </c>
      <c r="C11" s="102"/>
      <c r="D11" s="102"/>
      <c r="E11" s="102"/>
    </row>
    <row r="13" spans="1:5" ht="19.5" customHeight="1" x14ac:dyDescent="0.45">
      <c r="A13" s="83" t="s">
        <v>38</v>
      </c>
      <c r="B13" s="83"/>
      <c r="C13" s="83"/>
      <c r="D13" s="83"/>
      <c r="E13" s="83"/>
    </row>
    <row r="14" spans="1:5" ht="15.75" customHeight="1" x14ac:dyDescent="0.45">
      <c r="B14" s="1" t="s">
        <v>39</v>
      </c>
      <c r="C14" s="1" t="s">
        <v>40</v>
      </c>
      <c r="D14" s="1" t="s">
        <v>23</v>
      </c>
      <c r="E14" s="1" t="s">
        <v>41</v>
      </c>
    </row>
    <row r="15" spans="1:5" ht="16.5" customHeight="1" x14ac:dyDescent="0.45">
      <c r="B15" s="3" t="s">
        <v>42</v>
      </c>
      <c r="C15" s="14">
        <v>3.7</v>
      </c>
      <c r="D15" s="8" t="s">
        <v>43</v>
      </c>
      <c r="E15" s="9" t="s">
        <v>44</v>
      </c>
    </row>
    <row r="16" spans="1:5" ht="16.5" customHeight="1" x14ac:dyDescent="0.45">
      <c r="B16" s="4" t="s">
        <v>45</v>
      </c>
      <c r="C16" s="14">
        <v>4.5</v>
      </c>
      <c r="D16" s="10" t="s">
        <v>43</v>
      </c>
      <c r="E16" s="11" t="s">
        <v>46</v>
      </c>
    </row>
    <row r="17" spans="1:5" ht="16.5" customHeight="1" x14ac:dyDescent="0.45">
      <c r="B17" s="3" t="s">
        <v>47</v>
      </c>
      <c r="C17" s="14">
        <v>18.5</v>
      </c>
      <c r="D17" s="8" t="s">
        <v>43</v>
      </c>
      <c r="E17" s="9" t="s">
        <v>158</v>
      </c>
    </row>
    <row r="18" spans="1:5" ht="16.5" customHeight="1" x14ac:dyDescent="0.45">
      <c r="B18" s="4" t="s">
        <v>48</v>
      </c>
      <c r="C18" s="14">
        <v>3.1</v>
      </c>
      <c r="D18" s="10" t="s">
        <v>43</v>
      </c>
      <c r="E18" s="11" t="s">
        <v>159</v>
      </c>
    </row>
    <row r="19" spans="1:5" ht="16.5" customHeight="1" x14ac:dyDescent="0.45">
      <c r="B19" s="3" t="s">
        <v>49</v>
      </c>
      <c r="C19" s="14">
        <v>23.8</v>
      </c>
      <c r="D19" s="8" t="s">
        <v>43</v>
      </c>
      <c r="E19" s="9" t="s">
        <v>160</v>
      </c>
    </row>
    <row r="20" spans="1:5" ht="16.5" customHeight="1" x14ac:dyDescent="0.45">
      <c r="B20" s="4" t="s">
        <v>50</v>
      </c>
      <c r="C20" s="14">
        <v>5.2</v>
      </c>
      <c r="D20" s="10" t="s">
        <v>43</v>
      </c>
      <c r="E20" s="11" t="s">
        <v>51</v>
      </c>
    </row>
    <row r="21" spans="1:5" ht="16.5" customHeight="1" x14ac:dyDescent="0.45">
      <c r="B21" s="3" t="s">
        <v>52</v>
      </c>
      <c r="C21" s="14">
        <v>7.6</v>
      </c>
      <c r="D21" s="8" t="s">
        <v>43</v>
      </c>
      <c r="E21" s="9" t="s">
        <v>161</v>
      </c>
    </row>
    <row r="23" spans="1:5" ht="19.5" customHeight="1" x14ac:dyDescent="0.45">
      <c r="A23" s="83" t="s">
        <v>162</v>
      </c>
      <c r="B23" s="83"/>
      <c r="C23" s="83"/>
      <c r="D23" s="83"/>
      <c r="E23" s="83"/>
    </row>
    <row r="24" spans="1:5" ht="14.25" customHeight="1" x14ac:dyDescent="0.45">
      <c r="B24" s="1" t="s">
        <v>53</v>
      </c>
      <c r="C24" s="1" t="s">
        <v>54</v>
      </c>
      <c r="D24" s="1" t="s">
        <v>55</v>
      </c>
      <c r="E24" s="1" t="s">
        <v>56</v>
      </c>
    </row>
    <row r="25" spans="1:5" ht="23.25" customHeight="1" x14ac:dyDescent="0.45">
      <c r="B25" s="3" t="s">
        <v>57</v>
      </c>
      <c r="C25" s="15">
        <v>1850000</v>
      </c>
      <c r="D25" s="16" t="s">
        <v>163</v>
      </c>
      <c r="E25" s="17">
        <v>0.42</v>
      </c>
    </row>
    <row r="26" spans="1:5" ht="14.25" customHeight="1" x14ac:dyDescent="0.45">
      <c r="B26" s="4" t="s">
        <v>58</v>
      </c>
      <c r="C26" s="15">
        <v>5460000</v>
      </c>
      <c r="D26" s="18" t="s">
        <v>164</v>
      </c>
      <c r="E26" s="17">
        <v>0.51</v>
      </c>
    </row>
    <row r="27" spans="1:5" ht="14.25" customHeight="1" x14ac:dyDescent="0.45">
      <c r="B27" s="3" t="s">
        <v>59</v>
      </c>
      <c r="C27" s="15">
        <v>2880000</v>
      </c>
      <c r="D27" s="16" t="s">
        <v>165</v>
      </c>
      <c r="E27" s="17">
        <v>0.48</v>
      </c>
    </row>
    <row r="28" spans="1:5" ht="23.25" customHeight="1" x14ac:dyDescent="0.45">
      <c r="B28" s="4" t="s">
        <v>60</v>
      </c>
      <c r="C28" s="15">
        <v>1240000</v>
      </c>
      <c r="D28" s="18" t="s">
        <v>166</v>
      </c>
      <c r="E28" s="17">
        <v>0.39</v>
      </c>
    </row>
    <row r="29" spans="1:5" ht="14.25" customHeight="1" x14ac:dyDescent="0.45">
      <c r="B29" s="3" t="s">
        <v>61</v>
      </c>
      <c r="C29" s="15">
        <v>1120000</v>
      </c>
      <c r="D29" s="16" t="s">
        <v>167</v>
      </c>
      <c r="E29" s="17">
        <v>0.87</v>
      </c>
    </row>
    <row r="30" spans="1:5" ht="23.25" customHeight="1" x14ac:dyDescent="0.45">
      <c r="B30" s="4" t="s">
        <v>62</v>
      </c>
      <c r="C30" s="15">
        <v>1110000</v>
      </c>
      <c r="D30" s="18" t="s">
        <v>168</v>
      </c>
      <c r="E30" s="17">
        <v>0.63</v>
      </c>
    </row>
    <row r="31" spans="1:5" ht="14.25" customHeight="1" x14ac:dyDescent="0.45">
      <c r="B31" s="3" t="s">
        <v>63</v>
      </c>
      <c r="C31" s="15">
        <v>630000</v>
      </c>
      <c r="D31" s="16" t="s">
        <v>169</v>
      </c>
      <c r="E31" s="17">
        <v>0.44</v>
      </c>
    </row>
    <row r="33" spans="1:5" ht="19.5" customHeight="1" x14ac:dyDescent="0.45">
      <c r="A33" s="83" t="s">
        <v>64</v>
      </c>
      <c r="B33" s="83"/>
      <c r="C33" s="83"/>
      <c r="D33" s="83"/>
      <c r="E33" s="83"/>
    </row>
    <row r="34" spans="1:5" ht="15.75" customHeight="1" x14ac:dyDescent="0.45">
      <c r="B34" s="1" t="s">
        <v>65</v>
      </c>
      <c r="C34" s="1" t="s">
        <v>66</v>
      </c>
      <c r="D34" s="1" t="s">
        <v>23</v>
      </c>
      <c r="E34" s="1" t="s">
        <v>67</v>
      </c>
    </row>
    <row r="35" spans="1:5" ht="16.5" customHeight="1" x14ac:dyDescent="0.45">
      <c r="B35" s="3" t="s">
        <v>68</v>
      </c>
      <c r="C35" s="19">
        <v>2024</v>
      </c>
      <c r="D35" s="16" t="s">
        <v>69</v>
      </c>
      <c r="E35" s="16" t="s">
        <v>170</v>
      </c>
    </row>
    <row r="36" spans="1:5" ht="16.5" customHeight="1" x14ac:dyDescent="0.45">
      <c r="B36" s="4" t="s">
        <v>70</v>
      </c>
      <c r="C36" s="19">
        <v>2030</v>
      </c>
      <c r="D36" s="18" t="s">
        <v>69</v>
      </c>
      <c r="E36" s="18" t="s">
        <v>71</v>
      </c>
    </row>
    <row r="37" spans="1:5" ht="16.5" customHeight="1" x14ac:dyDescent="0.45">
      <c r="B37" s="3" t="s">
        <v>72</v>
      </c>
      <c r="C37" s="20">
        <v>0.3</v>
      </c>
      <c r="D37" s="16" t="s">
        <v>73</v>
      </c>
      <c r="E37" s="16" t="s">
        <v>74</v>
      </c>
    </row>
    <row r="38" spans="1:5" ht="16.5" customHeight="1" x14ac:dyDescent="0.45">
      <c r="B38" s="4" t="s">
        <v>75</v>
      </c>
      <c r="C38" s="20">
        <v>0.15</v>
      </c>
      <c r="D38" s="18" t="s">
        <v>73</v>
      </c>
      <c r="E38" s="18" t="s">
        <v>76</v>
      </c>
    </row>
  </sheetData>
  <mergeCells count="6">
    <mergeCell ref="A33:E33"/>
    <mergeCell ref="A1:E1"/>
    <mergeCell ref="A3:E3"/>
    <mergeCell ref="B11:E11"/>
    <mergeCell ref="A13:E13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showGridLines="0" zoomScaleNormal="100" workbookViewId="0">
      <selection activeCell="D16" sqref="D16"/>
    </sheetView>
  </sheetViews>
  <sheetFormatPr defaultColWidth="8.6640625" defaultRowHeight="14.25" x14ac:dyDescent="0.45"/>
  <cols>
    <col min="1" max="1" width="2" customWidth="1"/>
    <col min="2" max="2" width="22" customWidth="1"/>
    <col min="3" max="3" width="23.9296875" customWidth="1"/>
    <col min="4" max="4" width="25.59765625" customWidth="1"/>
    <col min="5" max="5" width="18" customWidth="1"/>
    <col min="6" max="6" width="19.19921875" customWidth="1"/>
    <col min="7" max="7" width="16" customWidth="1"/>
    <col min="8" max="11" width="18" customWidth="1"/>
    <col min="12" max="12" width="46.1328125" customWidth="1"/>
    <col min="13" max="13" width="12" customWidth="1"/>
  </cols>
  <sheetData>
    <row r="1" spans="1:13" ht="25.5" customHeight="1" x14ac:dyDescent="0.45">
      <c r="A1" s="82" t="s">
        <v>171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3" ht="15" customHeight="1" x14ac:dyDescent="0.45">
      <c r="B2" s="103" t="s">
        <v>77</v>
      </c>
      <c r="C2" s="103"/>
      <c r="D2" s="103"/>
      <c r="E2" s="103"/>
      <c r="F2" s="103"/>
      <c r="G2" s="103"/>
      <c r="H2" s="103"/>
      <c r="I2" s="103"/>
      <c r="J2" s="103"/>
      <c r="K2" s="103"/>
    </row>
    <row r="4" spans="1:13" ht="36" customHeight="1" x14ac:dyDescent="0.45">
      <c r="B4" s="21" t="s">
        <v>53</v>
      </c>
      <c r="C4" s="21" t="s">
        <v>78</v>
      </c>
      <c r="D4" s="21" t="s">
        <v>79</v>
      </c>
      <c r="E4" s="21" t="s">
        <v>80</v>
      </c>
      <c r="F4" s="21" t="s">
        <v>21</v>
      </c>
      <c r="G4" s="21" t="s">
        <v>81</v>
      </c>
      <c r="H4" s="21" t="s">
        <v>82</v>
      </c>
      <c r="I4" s="21" t="s">
        <v>83</v>
      </c>
      <c r="J4" s="21" t="s">
        <v>84</v>
      </c>
      <c r="K4" s="21" t="s">
        <v>85</v>
      </c>
      <c r="L4" s="21" t="s">
        <v>86</v>
      </c>
      <c r="M4" s="21" t="s">
        <v>87</v>
      </c>
    </row>
    <row r="5" spans="1:13" ht="19.5" customHeight="1" x14ac:dyDescent="0.45">
      <c r="B5" s="22" t="s">
        <v>57</v>
      </c>
      <c r="C5" s="22" t="s">
        <v>88</v>
      </c>
      <c r="D5" s="22" t="s">
        <v>42</v>
      </c>
      <c r="E5" s="23">
        <v>85000</v>
      </c>
      <c r="F5" s="22" t="s">
        <v>34</v>
      </c>
      <c r="G5" s="23">
        <v>9200</v>
      </c>
      <c r="H5" s="24">
        <f>'⚙️ Assumptions'!C9</f>
        <v>2.0799999999999999E-2</v>
      </c>
      <c r="I5" s="25" t="s">
        <v>89</v>
      </c>
      <c r="J5" s="26">
        <f t="shared" ref="J5:J11" si="0">(E5/1000)*G5*H5</f>
        <v>16265.599999999999</v>
      </c>
      <c r="K5" s="27">
        <f t="shared" ref="K5:K11" si="1">J5/1000</f>
        <v>16.265599999999999</v>
      </c>
      <c r="L5" s="9" t="s">
        <v>90</v>
      </c>
      <c r="M5" s="28">
        <f t="shared" ref="M5:M11" si="2">IFERROR(K5/K$12,"-")</f>
        <v>0.14171682842031599</v>
      </c>
    </row>
    <row r="6" spans="1:13" ht="19.5" customHeight="1" x14ac:dyDescent="0.45">
      <c r="B6" s="22" t="s">
        <v>58</v>
      </c>
      <c r="C6" s="22" t="s">
        <v>91</v>
      </c>
      <c r="D6" s="22" t="s">
        <v>92</v>
      </c>
      <c r="E6" s="23">
        <v>189000</v>
      </c>
      <c r="F6" s="22" t="s">
        <v>25</v>
      </c>
      <c r="G6" s="23">
        <v>11800</v>
      </c>
      <c r="H6" s="29">
        <f>'⚙️ Assumptions'!C5</f>
        <v>1.6E-2</v>
      </c>
      <c r="I6" s="30" t="s">
        <v>93</v>
      </c>
      <c r="J6" s="31">
        <f t="shared" si="0"/>
        <v>35683.200000000004</v>
      </c>
      <c r="K6" s="32">
        <f t="shared" si="1"/>
        <v>35.683200000000006</v>
      </c>
      <c r="L6" s="11" t="s">
        <v>94</v>
      </c>
      <c r="M6" s="33">
        <f t="shared" si="2"/>
        <v>0.31089599718964073</v>
      </c>
    </row>
    <row r="7" spans="1:13" ht="19.5" customHeight="1" x14ac:dyDescent="0.45">
      <c r="B7" s="22" t="s">
        <v>59</v>
      </c>
      <c r="C7" s="22" t="s">
        <v>95</v>
      </c>
      <c r="D7" s="22" t="s">
        <v>96</v>
      </c>
      <c r="E7" s="23">
        <v>108000</v>
      </c>
      <c r="F7" s="22" t="s">
        <v>30</v>
      </c>
      <c r="G7" s="23">
        <v>2400</v>
      </c>
      <c r="H7" s="24">
        <f>'⚙️ Assumptions'!C7</f>
        <v>6.2E-2</v>
      </c>
      <c r="I7" s="25" t="s">
        <v>97</v>
      </c>
      <c r="J7" s="26">
        <f t="shared" si="0"/>
        <v>16070.4</v>
      </c>
      <c r="K7" s="27">
        <f t="shared" si="1"/>
        <v>16.070399999999999</v>
      </c>
      <c r="L7" s="9" t="s">
        <v>98</v>
      </c>
      <c r="M7" s="28">
        <f t="shared" si="2"/>
        <v>0.14001611495707789</v>
      </c>
    </row>
    <row r="8" spans="1:13" ht="19.5" customHeight="1" x14ac:dyDescent="0.45">
      <c r="B8" s="22" t="s">
        <v>60</v>
      </c>
      <c r="C8" s="22" t="s">
        <v>99</v>
      </c>
      <c r="D8" s="22" t="s">
        <v>48</v>
      </c>
      <c r="E8" s="23">
        <v>62000</v>
      </c>
      <c r="F8" s="22" t="s">
        <v>25</v>
      </c>
      <c r="G8" s="23">
        <v>10500</v>
      </c>
      <c r="H8" s="29">
        <f>'⚙️ Assumptions'!C5</f>
        <v>1.6E-2</v>
      </c>
      <c r="I8" s="30" t="s">
        <v>93</v>
      </c>
      <c r="J8" s="31">
        <f t="shared" si="0"/>
        <v>10416</v>
      </c>
      <c r="K8" s="32">
        <f t="shared" si="1"/>
        <v>10.416</v>
      </c>
      <c r="L8" s="11"/>
      <c r="M8" s="33">
        <f t="shared" si="2"/>
        <v>9.0751185620328259E-2</v>
      </c>
    </row>
    <row r="9" spans="1:13" ht="19.5" customHeight="1" x14ac:dyDescent="0.45">
      <c r="B9" s="22" t="s">
        <v>61</v>
      </c>
      <c r="C9" s="22" t="s">
        <v>100</v>
      </c>
      <c r="D9" s="22" t="s">
        <v>49</v>
      </c>
      <c r="E9" s="23">
        <v>28000</v>
      </c>
      <c r="F9" s="22" t="s">
        <v>30</v>
      </c>
      <c r="G9" s="23">
        <v>1650</v>
      </c>
      <c r="H9" s="24">
        <f>'⚙️ Assumptions'!C7</f>
        <v>6.2E-2</v>
      </c>
      <c r="I9" s="25" t="s">
        <v>97</v>
      </c>
      <c r="J9" s="26">
        <f t="shared" si="0"/>
        <v>2864.4</v>
      </c>
      <c r="K9" s="27">
        <f t="shared" si="1"/>
        <v>2.8644000000000003</v>
      </c>
      <c r="L9" s="9" t="s">
        <v>101</v>
      </c>
      <c r="M9" s="28">
        <f t="shared" si="2"/>
        <v>2.4956576045590276E-2</v>
      </c>
    </row>
    <row r="10" spans="1:13" ht="19.5" customHeight="1" x14ac:dyDescent="0.45">
      <c r="B10" s="22" t="s">
        <v>62</v>
      </c>
      <c r="C10" s="22" t="s">
        <v>102</v>
      </c>
      <c r="D10" s="22" t="s">
        <v>50</v>
      </c>
      <c r="E10" s="23">
        <v>74000</v>
      </c>
      <c r="F10" s="22" t="s">
        <v>25</v>
      </c>
      <c r="G10" s="23">
        <v>8200</v>
      </c>
      <c r="H10" s="29">
        <f>'⚙️ Assumptions'!C5</f>
        <v>1.6E-2</v>
      </c>
      <c r="I10" s="30" t="s">
        <v>93</v>
      </c>
      <c r="J10" s="31">
        <f t="shared" si="0"/>
        <v>9708.8000000000011</v>
      </c>
      <c r="K10" s="32">
        <f t="shared" si="1"/>
        <v>9.7088000000000019</v>
      </c>
      <c r="L10" s="11"/>
      <c r="M10" s="33">
        <f t="shared" si="2"/>
        <v>8.4589584384662367E-2</v>
      </c>
    </row>
    <row r="11" spans="1:13" ht="19.5" customHeight="1" x14ac:dyDescent="0.45">
      <c r="B11" s="22" t="s">
        <v>63</v>
      </c>
      <c r="C11" s="22" t="s">
        <v>103</v>
      </c>
      <c r="D11" s="22" t="s">
        <v>104</v>
      </c>
      <c r="E11" s="23">
        <v>4200</v>
      </c>
      <c r="F11" s="22" t="s">
        <v>28</v>
      </c>
      <c r="G11" s="23">
        <v>9400</v>
      </c>
      <c r="H11" s="24">
        <f>'⚙️ Assumptions'!C6</f>
        <v>0.60199999999999998</v>
      </c>
      <c r="I11" s="25" t="s">
        <v>105</v>
      </c>
      <c r="J11" s="26">
        <f t="shared" si="0"/>
        <v>23766.959999999999</v>
      </c>
      <c r="K11" s="27">
        <f t="shared" si="1"/>
        <v>23.766959999999997</v>
      </c>
      <c r="L11" s="34" t="s">
        <v>172</v>
      </c>
      <c r="M11" s="28">
        <f t="shared" si="2"/>
        <v>0.20707371338238448</v>
      </c>
    </row>
    <row r="12" spans="1:13" ht="21.75" customHeight="1" x14ac:dyDescent="0.45">
      <c r="B12" s="104" t="s">
        <v>173</v>
      </c>
      <c r="C12" s="104"/>
      <c r="D12" s="104"/>
      <c r="E12" s="104"/>
      <c r="F12" s="104"/>
      <c r="G12" s="104"/>
      <c r="H12" s="104"/>
      <c r="I12" s="104"/>
      <c r="J12" s="36">
        <f>SUM(J5:J11)</f>
        <v>114775.35999999999</v>
      </c>
      <c r="K12" s="37">
        <f>SUM(K5:K11)</f>
        <v>114.77536000000001</v>
      </c>
      <c r="L12" s="38"/>
      <c r="M12" s="39">
        <f>IFERROR(SUM(M5:M11),"-")</f>
        <v>1</v>
      </c>
    </row>
    <row r="14" spans="1:13" ht="27.75" customHeight="1" x14ac:dyDescent="0.45">
      <c r="B14" s="105" t="s">
        <v>106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</sheetData>
  <mergeCells count="4">
    <mergeCell ref="A1:K1"/>
    <mergeCell ref="B2:K2"/>
    <mergeCell ref="B12:I12"/>
    <mergeCell ref="B14:M14"/>
  </mergeCells>
  <conditionalFormatting sqref="K5:K11">
    <cfRule type="colorScale" priority="2">
      <colorScale>
        <cfvo type="min"/>
        <cfvo type="max"/>
        <color rgb="FFD8F3DC"/>
        <color rgb="FFFF444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showGridLines="0" zoomScaleNormal="100" workbookViewId="0">
      <selection sqref="A1:J1"/>
    </sheetView>
  </sheetViews>
  <sheetFormatPr defaultColWidth="8.6640625" defaultRowHeight="14.25" x14ac:dyDescent="0.45"/>
  <cols>
    <col min="1" max="1" width="2" customWidth="1"/>
    <col min="2" max="2" width="22" customWidth="1"/>
    <col min="3" max="3" width="23.9296875" customWidth="1"/>
    <col min="4" max="4" width="25.59765625" customWidth="1"/>
    <col min="5" max="10" width="18" customWidth="1"/>
    <col min="11" max="11" width="9.06640625" customWidth="1"/>
    <col min="12" max="12" width="12" customWidth="1"/>
  </cols>
  <sheetData>
    <row r="1" spans="1:12" ht="25.5" customHeight="1" x14ac:dyDescent="0.45">
      <c r="A1" s="82" t="s">
        <v>174</v>
      </c>
      <c r="B1" s="82"/>
      <c r="C1" s="82"/>
      <c r="D1" s="82"/>
      <c r="E1" s="82"/>
      <c r="F1" s="82"/>
      <c r="G1" s="82"/>
      <c r="H1" s="82"/>
      <c r="I1" s="82"/>
      <c r="J1" s="82"/>
    </row>
    <row r="2" spans="1:12" ht="15" customHeight="1" x14ac:dyDescent="0.45">
      <c r="B2" s="103" t="s">
        <v>107</v>
      </c>
      <c r="C2" s="103"/>
      <c r="D2" s="103"/>
      <c r="E2" s="103"/>
      <c r="F2" s="103"/>
      <c r="G2" s="103"/>
      <c r="H2" s="103"/>
      <c r="I2" s="103"/>
      <c r="J2" s="103"/>
    </row>
    <row r="4" spans="1:12" ht="48" customHeight="1" x14ac:dyDescent="0.45">
      <c r="B4" s="21" t="s">
        <v>53</v>
      </c>
      <c r="C4" s="21" t="s">
        <v>78</v>
      </c>
      <c r="D4" s="21" t="s">
        <v>79</v>
      </c>
      <c r="E4" s="21" t="s">
        <v>80</v>
      </c>
      <c r="F4" s="21" t="s">
        <v>108</v>
      </c>
      <c r="G4" s="21" t="s">
        <v>109</v>
      </c>
      <c r="H4" s="21" t="s">
        <v>110</v>
      </c>
      <c r="I4" s="21" t="s">
        <v>111</v>
      </c>
      <c r="J4" s="21" t="s">
        <v>112</v>
      </c>
      <c r="K4" s="21" t="s">
        <v>113</v>
      </c>
      <c r="L4" s="21" t="s">
        <v>114</v>
      </c>
    </row>
    <row r="5" spans="1:12" ht="19.5" customHeight="1" x14ac:dyDescent="0.45">
      <c r="B5" s="22" t="str">
        <f t="array" ref="B5:B11">'🚢 Cat4 Transport'!B5:B11</f>
        <v>Shanxi Cotton Co.</v>
      </c>
      <c r="C5" s="22" t="str">
        <f t="array" ref="C5:C11">'🚢 Cat4 Transport'!C5:C11</f>
        <v>Zhengzhou, China</v>
      </c>
      <c r="D5" s="22" t="str">
        <f t="array" ref="D5:D11">'🚢 Cat4 Transport'!D5:D11</f>
        <v>Organic cotton yarn</v>
      </c>
      <c r="E5" s="23">
        <f t="array" ref="E5:E11">'🚢 Cat4 Transport'!E5:E11</f>
        <v>85000</v>
      </c>
      <c r="F5" s="40">
        <f>'⚙️ Assumptions'!C15</f>
        <v>3.7</v>
      </c>
      <c r="G5" s="41">
        <f t="shared" ref="G5:G11" si="0">E5*F5</f>
        <v>314500</v>
      </c>
      <c r="H5" s="42">
        <f t="shared" ref="H5:H11" si="1">G5/1000</f>
        <v>314.5</v>
      </c>
      <c r="I5" s="43">
        <f>'⚙️ Assumptions'!C25</f>
        <v>1850000</v>
      </c>
      <c r="J5" s="44">
        <f>IF(I5="","",I5*'⚙️ Assumptions'!E25/1000)</f>
        <v>777</v>
      </c>
      <c r="K5" s="45">
        <f t="shared" ref="K5:K11" si="2">IF(J5="","-",H5-J5)</f>
        <v>-462.5</v>
      </c>
      <c r="L5" s="28">
        <f t="shared" ref="L5:L11" si="3">IFERROR(H5/H$12,"-")</f>
        <v>7.0860145280196116E-2</v>
      </c>
    </row>
    <row r="6" spans="1:12" ht="19.5" customHeight="1" x14ac:dyDescent="0.45">
      <c r="B6" s="22" t="str">
        <v>PT Garuda Tekstil</v>
      </c>
      <c r="C6" s="22" t="str">
        <v>Bandung, Indonesia</v>
      </c>
      <c r="D6" s="22" t="str">
        <v>Cut &amp; sewn cotton T-shirts</v>
      </c>
      <c r="E6" s="23">
        <v>189000</v>
      </c>
      <c r="F6" s="46">
        <f>'⚙️ Assumptions'!C16</f>
        <v>4.5</v>
      </c>
      <c r="G6" s="47">
        <f t="shared" si="0"/>
        <v>850500</v>
      </c>
      <c r="H6" s="48">
        <f t="shared" si="1"/>
        <v>850.5</v>
      </c>
      <c r="I6" s="43">
        <f>'⚙️ Assumptions'!C26</f>
        <v>5460000</v>
      </c>
      <c r="J6" s="49">
        <f>IF(I6="","",I6*'⚙️ Assumptions'!E26/1000)</f>
        <v>2784.6</v>
      </c>
      <c r="K6" s="50">
        <f t="shared" si="2"/>
        <v>-1934.1</v>
      </c>
      <c r="L6" s="33">
        <f t="shared" si="3"/>
        <v>0.19162656140161144</v>
      </c>
    </row>
    <row r="7" spans="1:12" ht="19.5" customHeight="1" x14ac:dyDescent="0.45">
      <c r="B7" s="22" t="str">
        <v>Textil Maroc SA</v>
      </c>
      <c r="C7" s="22" t="str">
        <v>Casablanca, Morocco</v>
      </c>
      <c r="D7" s="22" t="str">
        <v>Knitted wool garments</v>
      </c>
      <c r="E7" s="23">
        <v>108000</v>
      </c>
      <c r="F7" s="40">
        <f>'⚙️ Assumptions'!C17</f>
        <v>18.5</v>
      </c>
      <c r="G7" s="41">
        <f t="shared" si="0"/>
        <v>1998000</v>
      </c>
      <c r="H7" s="42">
        <f t="shared" si="1"/>
        <v>1998</v>
      </c>
      <c r="I7" s="43">
        <f>'⚙️ Assumptions'!C27</f>
        <v>2880000</v>
      </c>
      <c r="J7" s="44">
        <f>IF(I7="","",I7*'⚙️ Assumptions'!E27/1000)</f>
        <v>1382.4</v>
      </c>
      <c r="K7" s="45">
        <f t="shared" si="2"/>
        <v>615.59999999999991</v>
      </c>
      <c r="L7" s="28">
        <f t="shared" si="3"/>
        <v>0.4501703347212459</v>
      </c>
    </row>
    <row r="8" spans="1:12" ht="19.5" customHeight="1" x14ac:dyDescent="0.45">
      <c r="B8" s="22" t="str">
        <v>Far East Poly Ltd.</v>
      </c>
      <c r="C8" s="22" t="str">
        <v>Ho Chi Minh City, Vietnam</v>
      </c>
      <c r="D8" s="22" t="str">
        <v>Recycled polyester fabric</v>
      </c>
      <c r="E8" s="23">
        <v>62000</v>
      </c>
      <c r="F8" s="46">
        <f>'⚙️ Assumptions'!C18</f>
        <v>3.1</v>
      </c>
      <c r="G8" s="47">
        <f t="shared" si="0"/>
        <v>192200</v>
      </c>
      <c r="H8" s="48">
        <f t="shared" si="1"/>
        <v>192.2</v>
      </c>
      <c r="I8" s="43">
        <f>'⚙️ Assumptions'!C28</f>
        <v>1240000</v>
      </c>
      <c r="J8" s="49">
        <f>IF(I8="","",I8*'⚙️ Assumptions'!E28/1000)</f>
        <v>483.6</v>
      </c>
      <c r="K8" s="50">
        <f t="shared" si="2"/>
        <v>-291.40000000000003</v>
      </c>
      <c r="L8" s="33">
        <f t="shared" si="3"/>
        <v>4.3304673840552282E-2</v>
      </c>
    </row>
    <row r="9" spans="1:12" ht="19.5" customHeight="1" x14ac:dyDescent="0.45">
      <c r="B9" s="22" t="str">
        <v>Nordic Wool AS</v>
      </c>
      <c r="C9" s="22" t="str">
        <v>Stavanger, Norway</v>
      </c>
      <c r="D9" s="22" t="str">
        <v>Raw Merino wool tops</v>
      </c>
      <c r="E9" s="23">
        <v>28000</v>
      </c>
      <c r="F9" s="40">
        <f>'⚙️ Assumptions'!C19</f>
        <v>23.8</v>
      </c>
      <c r="G9" s="41">
        <f t="shared" si="0"/>
        <v>666400</v>
      </c>
      <c r="H9" s="42">
        <f t="shared" si="1"/>
        <v>666.4</v>
      </c>
      <c r="I9" s="43">
        <f>'⚙️ Assumptions'!C29</f>
        <v>1120000</v>
      </c>
      <c r="J9" s="44">
        <f>IF(I9="","",I9*'⚙️ Assumptions'!E29/1000)</f>
        <v>974.4</v>
      </c>
      <c r="K9" s="45">
        <f t="shared" si="2"/>
        <v>-308</v>
      </c>
      <c r="L9" s="28">
        <f t="shared" si="3"/>
        <v>0.15014690243155068</v>
      </c>
    </row>
    <row r="10" spans="1:12" ht="19.5" customHeight="1" x14ac:dyDescent="0.45">
      <c r="B10" s="22" t="str">
        <v>Chennai Dye Works</v>
      </c>
      <c r="C10" s="22" t="str">
        <v>Chennai, India</v>
      </c>
      <c r="D10" s="22" t="str">
        <v>Dyed &amp; finished fabric</v>
      </c>
      <c r="E10" s="23">
        <v>74000</v>
      </c>
      <c r="F10" s="46">
        <f>'⚙️ Assumptions'!C20</f>
        <v>5.2</v>
      </c>
      <c r="G10" s="47">
        <f t="shared" si="0"/>
        <v>384800</v>
      </c>
      <c r="H10" s="48">
        <f t="shared" si="1"/>
        <v>384.8</v>
      </c>
      <c r="I10" s="43">
        <f>'⚙️ Assumptions'!C30</f>
        <v>1110000</v>
      </c>
      <c r="J10" s="49">
        <f>IF(I10="","",I10*'⚙️ Assumptions'!E30/1000)</f>
        <v>699.3</v>
      </c>
      <c r="K10" s="50">
        <f t="shared" si="2"/>
        <v>-314.49999999999994</v>
      </c>
      <c r="L10" s="33">
        <f t="shared" si="3"/>
        <v>8.6699471872239961E-2</v>
      </c>
    </row>
    <row r="11" spans="1:12" ht="19.5" customHeight="1" x14ac:dyDescent="0.45">
      <c r="B11" s="22" t="str">
        <v>EcoZip Taiwan</v>
      </c>
      <c r="C11" s="22" t="str">
        <v>Taichung, Taiwan</v>
      </c>
      <c r="D11" s="22" t="str">
        <v>Recycled nylon zips &amp; trims</v>
      </c>
      <c r="E11" s="23">
        <v>4200</v>
      </c>
      <c r="F11" s="40">
        <f>'⚙️ Assumptions'!C21</f>
        <v>7.6</v>
      </c>
      <c r="G11" s="41">
        <f t="shared" si="0"/>
        <v>31920</v>
      </c>
      <c r="H11" s="42">
        <f t="shared" si="1"/>
        <v>31.92</v>
      </c>
      <c r="I11" s="43">
        <f>'⚙️ Assumptions'!C31</f>
        <v>630000</v>
      </c>
      <c r="J11" s="44">
        <f>IF(I11="","",I11*'⚙️ Assumptions'!E31/1000)</f>
        <v>277.2</v>
      </c>
      <c r="K11" s="45">
        <f t="shared" si="2"/>
        <v>-245.27999999999997</v>
      </c>
      <c r="L11" s="28">
        <f t="shared" si="3"/>
        <v>7.191910452603689E-3</v>
      </c>
    </row>
    <row r="12" spans="1:12" ht="21.75" customHeight="1" x14ac:dyDescent="0.45">
      <c r="B12" s="104" t="s">
        <v>175</v>
      </c>
      <c r="C12" s="104"/>
      <c r="D12" s="104"/>
      <c r="E12" s="104"/>
      <c r="F12" s="104"/>
      <c r="G12" s="36">
        <f>SUM(G5:G11)</f>
        <v>4438320</v>
      </c>
      <c r="H12" s="37">
        <f>SUM(H5:H11)</f>
        <v>4438.32</v>
      </c>
      <c r="I12" s="38"/>
      <c r="J12" s="38"/>
      <c r="K12" s="38"/>
      <c r="L12" s="35" t="s">
        <v>115</v>
      </c>
    </row>
    <row r="14" spans="1:12" ht="36" customHeight="1" x14ac:dyDescent="0.45">
      <c r="B14" s="105" t="s">
        <v>176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</row>
  </sheetData>
  <mergeCells count="4">
    <mergeCell ref="A1:J1"/>
    <mergeCell ref="B2:J2"/>
    <mergeCell ref="B12:F12"/>
    <mergeCell ref="B14:L14"/>
  </mergeCells>
  <conditionalFormatting sqref="H5:H11">
    <cfRule type="colorScale" priority="2">
      <colorScale>
        <cfvo type="min"/>
        <cfvo type="max"/>
        <color rgb="FFD8F3DC"/>
        <color rgb="FFFF444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showGridLines="0" tabSelected="1" zoomScaleNormal="100" workbookViewId="0">
      <selection activeCell="B23" sqref="B23"/>
    </sheetView>
  </sheetViews>
  <sheetFormatPr defaultColWidth="8.6640625" defaultRowHeight="14.25" x14ac:dyDescent="0.45"/>
  <cols>
    <col min="1" max="1" width="2" customWidth="1"/>
    <col min="2" max="2" width="24" customWidth="1"/>
    <col min="3" max="9" width="16" customWidth="1"/>
    <col min="10" max="10" width="4.06640625" customWidth="1"/>
    <col min="11" max="11" width="4" customWidth="1"/>
    <col min="12" max="12" width="30" customWidth="1"/>
  </cols>
  <sheetData>
    <row r="1" spans="1:12" ht="27.75" customHeight="1" x14ac:dyDescent="0.45">
      <c r="A1" s="82" t="s">
        <v>177</v>
      </c>
      <c r="B1" s="82"/>
      <c r="C1" s="82"/>
      <c r="D1" s="82"/>
      <c r="E1" s="82"/>
      <c r="F1" s="82"/>
      <c r="G1" s="82"/>
      <c r="H1" s="82"/>
      <c r="I1" s="82"/>
    </row>
    <row r="3" spans="1:12" ht="30" customHeight="1" x14ac:dyDescent="0.45">
      <c r="B3" s="51" t="s">
        <v>116</v>
      </c>
      <c r="C3" s="51" t="s">
        <v>117</v>
      </c>
      <c r="D3" s="51" t="s">
        <v>118</v>
      </c>
      <c r="E3" s="51" t="s">
        <v>119</v>
      </c>
      <c r="F3" s="51" t="s">
        <v>120</v>
      </c>
      <c r="G3" s="51" t="s">
        <v>121</v>
      </c>
      <c r="H3" s="51" t="s">
        <v>122</v>
      </c>
    </row>
    <row r="4" spans="1:12" ht="31.5" customHeight="1" x14ac:dyDescent="0.45">
      <c r="B4" s="52">
        <f>'🚢 Cat4 Transport'!K12+'🌾 Cat1 Materials'!H12</f>
        <v>4553.0953599999993</v>
      </c>
      <c r="C4" s="52">
        <f>'🚢 Cat4 Transport'!K12</f>
        <v>114.77536000000001</v>
      </c>
      <c r="D4" s="52">
        <f>'🌾 Cat1 Materials'!H12</f>
        <v>4438.32</v>
      </c>
      <c r="E4" s="53">
        <f>IFERROR('🌾 Cat1 Materials'!H12/('🚢 Cat4 Transport'!K12+'🌾 Cat1 Materials'!H12),"-")</f>
        <v>0.97479179526782422</v>
      </c>
      <c r="F4" s="53">
        <f>IFERROR('🚢 Cat4 Transport'!K12/('🚢 Cat4 Transport'!K12+'🌾 Cat1 Materials'!H12),"-")</f>
        <v>2.5208204732175877E-2</v>
      </c>
      <c r="G4" s="52">
        <f>('🚢 Cat4 Transport'!K12+'🌾 Cat1 Materials'!H12)*( 1 - '⚙️ Assumptions'!C37)</f>
        <v>3187.1667519999992</v>
      </c>
      <c r="H4" s="52">
        <f>('🚢 Cat4 Transport'!K12+'🌾 Cat1 Materials'!H12)*'⚙️ Assumptions'!C37</f>
        <v>1365.9286079999997</v>
      </c>
    </row>
    <row r="6" spans="1:12" ht="19.5" customHeight="1" x14ac:dyDescent="0.45">
      <c r="A6" s="83" t="s">
        <v>123</v>
      </c>
      <c r="B6" s="83"/>
      <c r="C6" s="83"/>
      <c r="D6" s="83"/>
      <c r="E6" s="83"/>
      <c r="F6" s="83"/>
      <c r="G6" s="83"/>
      <c r="H6" s="83"/>
      <c r="I6" s="83"/>
    </row>
    <row r="7" spans="1:12" ht="30" customHeight="1" x14ac:dyDescent="0.45">
      <c r="B7" s="54" t="s">
        <v>53</v>
      </c>
      <c r="C7" s="54" t="s">
        <v>78</v>
      </c>
      <c r="D7" s="54" t="s">
        <v>124</v>
      </c>
      <c r="E7" s="54" t="s">
        <v>125</v>
      </c>
      <c r="F7" s="54" t="s">
        <v>126</v>
      </c>
      <c r="G7" s="54" t="s">
        <v>127</v>
      </c>
      <c r="H7" s="54" t="s">
        <v>128</v>
      </c>
      <c r="I7" s="54" t="s">
        <v>129</v>
      </c>
      <c r="J7" s="54" t="s">
        <v>130</v>
      </c>
      <c r="K7" s="84" t="s">
        <v>131</v>
      </c>
      <c r="L7" s="84"/>
    </row>
    <row r="8" spans="1:12" ht="13.5" customHeight="1" x14ac:dyDescent="0.45">
      <c r="B8" s="55" t="str">
        <f>'🚢 Cat4 Transport'!B5</f>
        <v>Shanxi Cotton Co.</v>
      </c>
      <c r="C8" s="3" t="s">
        <v>88</v>
      </c>
      <c r="D8" s="56">
        <f>'🚢 Cat4 Transport'!K5</f>
        <v>16.265599999999999</v>
      </c>
      <c r="E8" s="56">
        <f>'🌾 Cat1 Materials'!H5</f>
        <v>314.5</v>
      </c>
      <c r="F8" s="57">
        <f t="shared" ref="F8:F14" si="0">D8+E8</f>
        <v>330.76560000000001</v>
      </c>
      <c r="G8" s="28">
        <f t="shared" ref="G8:G14" si="1">IFERROR(F8/F$15,"-")</f>
        <v>7.2646315055435159E-2</v>
      </c>
      <c r="H8" s="58">
        <f>F8*(1-'⚙️ Assumptions'!C37)</f>
        <v>231.53591999999998</v>
      </c>
      <c r="I8" s="59">
        <f t="shared" ref="I8:I14" si="2">F8-H8</f>
        <v>99.22968000000003</v>
      </c>
      <c r="J8" s="66" t="s">
        <v>134</v>
      </c>
      <c r="K8" s="85" t="s">
        <v>132</v>
      </c>
      <c r="L8" s="86" t="s">
        <v>178</v>
      </c>
    </row>
    <row r="9" spans="1:12" ht="24" customHeight="1" x14ac:dyDescent="0.45">
      <c r="B9" s="61" t="str">
        <f>'🚢 Cat4 Transport'!B6</f>
        <v>PT Garuda Tekstil</v>
      </c>
      <c r="C9" s="4" t="s">
        <v>91</v>
      </c>
      <c r="D9" s="62">
        <f>'🚢 Cat4 Transport'!K6</f>
        <v>35.683200000000006</v>
      </c>
      <c r="E9" s="62">
        <f>'🌾 Cat1 Materials'!H6</f>
        <v>850.5</v>
      </c>
      <c r="F9" s="63">
        <f t="shared" si="0"/>
        <v>886.18320000000006</v>
      </c>
      <c r="G9" s="33">
        <f t="shared" si="1"/>
        <v>0.19463312975724717</v>
      </c>
      <c r="H9" s="64">
        <f>F9*(1-'⚙️ Assumptions'!C37)</f>
        <v>620.32824000000005</v>
      </c>
      <c r="I9" s="65">
        <f t="shared" si="2"/>
        <v>265.85496000000001</v>
      </c>
      <c r="J9" s="60" t="s">
        <v>132</v>
      </c>
      <c r="K9" s="85"/>
      <c r="L9" s="85"/>
    </row>
    <row r="10" spans="1:12" ht="25.5" x14ac:dyDescent="0.45">
      <c r="B10" s="55" t="str">
        <f>'🚢 Cat4 Transport'!B7</f>
        <v>Textil Maroc SA</v>
      </c>
      <c r="C10" s="3" t="s">
        <v>95</v>
      </c>
      <c r="D10" s="56">
        <f>'🚢 Cat4 Transport'!K7</f>
        <v>16.070399999999999</v>
      </c>
      <c r="E10" s="56">
        <f>'🌾 Cat1 Materials'!H7</f>
        <v>1998</v>
      </c>
      <c r="F10" s="57">
        <f t="shared" si="0"/>
        <v>2014.0704000000001</v>
      </c>
      <c r="G10" s="28">
        <f t="shared" si="1"/>
        <v>0.44235190365088245</v>
      </c>
      <c r="H10" s="58">
        <f>F10*(1-'⚙️ Assumptions'!C37)</f>
        <v>1409.8492799999999</v>
      </c>
      <c r="I10" s="59">
        <f t="shared" si="2"/>
        <v>604.22112000000016</v>
      </c>
      <c r="J10" s="60" t="s">
        <v>132</v>
      </c>
      <c r="K10" s="87" t="s">
        <v>133</v>
      </c>
      <c r="L10" s="88" t="s">
        <v>179</v>
      </c>
    </row>
    <row r="11" spans="1:12" ht="24" customHeight="1" x14ac:dyDescent="0.45">
      <c r="B11" s="61" t="str">
        <f>'🚢 Cat4 Transport'!B8</f>
        <v>Far East Poly Ltd.</v>
      </c>
      <c r="C11" s="4" t="s">
        <v>99</v>
      </c>
      <c r="D11" s="62">
        <f>'🚢 Cat4 Transport'!K8</f>
        <v>10.416</v>
      </c>
      <c r="E11" s="62">
        <f>'🌾 Cat1 Materials'!H8</f>
        <v>192.2</v>
      </c>
      <c r="F11" s="63">
        <f t="shared" si="0"/>
        <v>202.61599999999999</v>
      </c>
      <c r="G11" s="33">
        <f t="shared" si="1"/>
        <v>4.4500715223324459E-2</v>
      </c>
      <c r="H11" s="64">
        <f>F11*(1-'⚙️ Assumptions'!C37)</f>
        <v>141.83119999999997</v>
      </c>
      <c r="I11" s="65">
        <f t="shared" si="2"/>
        <v>60.784800000000018</v>
      </c>
      <c r="J11" s="66" t="s">
        <v>134</v>
      </c>
      <c r="K11" s="87"/>
      <c r="L11" s="87"/>
    </row>
    <row r="12" spans="1:12" ht="13.5" customHeight="1" x14ac:dyDescent="0.45">
      <c r="B12" s="55" t="str">
        <f>'🚢 Cat4 Transport'!B9</f>
        <v>Nordic Wool AS</v>
      </c>
      <c r="C12" s="3" t="s">
        <v>100</v>
      </c>
      <c r="D12" s="56">
        <f>'🚢 Cat4 Transport'!K9</f>
        <v>2.8644000000000003</v>
      </c>
      <c r="E12" s="56">
        <f>'🌾 Cat1 Materials'!H9</f>
        <v>666.4</v>
      </c>
      <c r="F12" s="57">
        <f t="shared" si="0"/>
        <v>669.26440000000002</v>
      </c>
      <c r="G12" s="28">
        <f t="shared" si="1"/>
        <v>0.14699107905352546</v>
      </c>
      <c r="H12" s="58">
        <f>F12*(1-'⚙️ Assumptions'!C37)</f>
        <v>468.48507999999998</v>
      </c>
      <c r="I12" s="59">
        <f t="shared" si="2"/>
        <v>200.77932000000004</v>
      </c>
      <c r="J12" s="67" t="s">
        <v>133</v>
      </c>
      <c r="K12" s="89" t="s">
        <v>134</v>
      </c>
      <c r="L12" s="90" t="s">
        <v>180</v>
      </c>
    </row>
    <row r="13" spans="1:12" ht="24" customHeight="1" x14ac:dyDescent="0.45">
      <c r="B13" s="61" t="str">
        <f>'🚢 Cat4 Transport'!B10</f>
        <v>Chennai Dye Works</v>
      </c>
      <c r="C13" s="4" t="s">
        <v>102</v>
      </c>
      <c r="D13" s="62">
        <f>'🚢 Cat4 Transport'!K10</f>
        <v>9.7088000000000019</v>
      </c>
      <c r="E13" s="62">
        <f>'🌾 Cat1 Materials'!H10</f>
        <v>384.8</v>
      </c>
      <c r="F13" s="63">
        <f t="shared" si="0"/>
        <v>394.50880000000001</v>
      </c>
      <c r="G13" s="33">
        <f t="shared" si="1"/>
        <v>8.6646285396491232E-2</v>
      </c>
      <c r="H13" s="64">
        <f>F13*(1-'⚙️ Assumptions'!C37)</f>
        <v>276.15616</v>
      </c>
      <c r="I13" s="65">
        <f t="shared" si="2"/>
        <v>118.35264000000001</v>
      </c>
      <c r="J13" s="67" t="s">
        <v>133</v>
      </c>
      <c r="K13" s="89"/>
      <c r="L13" s="89"/>
    </row>
    <row r="14" spans="1:12" ht="36" customHeight="1" x14ac:dyDescent="0.45">
      <c r="B14" s="55" t="str">
        <f>'🚢 Cat4 Transport'!B11</f>
        <v>EcoZip Taiwan</v>
      </c>
      <c r="C14" s="3" t="s">
        <v>103</v>
      </c>
      <c r="D14" s="56">
        <f>'🚢 Cat4 Transport'!K11</f>
        <v>23.766959999999997</v>
      </c>
      <c r="E14" s="56">
        <f>'🌾 Cat1 Materials'!H11</f>
        <v>31.92</v>
      </c>
      <c r="F14" s="57">
        <f t="shared" si="0"/>
        <v>55.686959999999999</v>
      </c>
      <c r="G14" s="28">
        <f t="shared" si="1"/>
        <v>1.2230571863094033E-2</v>
      </c>
      <c r="H14" s="58">
        <f>F14*(1-'⚙️ Assumptions'!C37)</f>
        <v>38.980871999999998</v>
      </c>
      <c r="I14" s="59">
        <f t="shared" si="2"/>
        <v>16.706088000000001</v>
      </c>
      <c r="J14" s="66" t="s">
        <v>134</v>
      </c>
      <c r="K14" s="91" t="s">
        <v>135</v>
      </c>
      <c r="L14" s="91"/>
    </row>
    <row r="15" spans="1:12" ht="21.75" customHeight="1" x14ac:dyDescent="0.45">
      <c r="B15" s="92" t="s">
        <v>136</v>
      </c>
      <c r="C15" s="92"/>
      <c r="D15" s="68">
        <f>SUM(D8:D14)</f>
        <v>114.77536000000001</v>
      </c>
      <c r="E15" s="68">
        <f>SUM(E8:E14)</f>
        <v>4438.32</v>
      </c>
      <c r="F15" s="68">
        <f>SUM(F8:F14)</f>
        <v>4553.0953600000003</v>
      </c>
      <c r="G15" s="2" t="s">
        <v>115</v>
      </c>
      <c r="H15" s="68">
        <f>SUM(H8:H14)</f>
        <v>3187.1667520000001</v>
      </c>
      <c r="I15" s="68">
        <f>SUM(I8:I14)</f>
        <v>1365.9286080000002</v>
      </c>
      <c r="J15" s="69"/>
      <c r="K15" s="69"/>
      <c r="L15" s="69"/>
    </row>
    <row r="17" spans="1:9" ht="19.5" customHeight="1" x14ac:dyDescent="0.45">
      <c r="A17" s="83" t="s">
        <v>181</v>
      </c>
      <c r="B17" s="83"/>
      <c r="C17" s="83"/>
      <c r="D17" s="83"/>
      <c r="E17" s="83"/>
      <c r="F17" s="83"/>
      <c r="G17" s="83"/>
      <c r="H17" s="83"/>
      <c r="I17" s="83"/>
    </row>
    <row r="18" spans="1:9" ht="15.75" customHeight="1" x14ac:dyDescent="0.45">
      <c r="B18" s="1" t="s">
        <v>137</v>
      </c>
      <c r="C18" s="93" t="s">
        <v>138</v>
      </c>
      <c r="D18" s="93"/>
      <c r="E18" s="93"/>
      <c r="F18" s="93"/>
      <c r="G18" s="93"/>
      <c r="H18" s="93"/>
      <c r="I18" s="93"/>
    </row>
    <row r="19" spans="1:9" ht="42" customHeight="1" x14ac:dyDescent="0.45">
      <c r="B19" s="70" t="s">
        <v>182</v>
      </c>
      <c r="C19" s="94" t="s">
        <v>183</v>
      </c>
      <c r="D19" s="94"/>
      <c r="E19" s="94"/>
      <c r="F19" s="94"/>
      <c r="G19" s="94"/>
      <c r="H19" s="94"/>
      <c r="I19" s="94"/>
    </row>
    <row r="20" spans="1:9" ht="42" customHeight="1" x14ac:dyDescent="0.45">
      <c r="B20" s="71" t="s">
        <v>184</v>
      </c>
      <c r="C20" s="95" t="s">
        <v>185</v>
      </c>
      <c r="D20" s="95"/>
      <c r="E20" s="95"/>
      <c r="F20" s="95"/>
      <c r="G20" s="95"/>
      <c r="H20" s="95"/>
      <c r="I20" s="95"/>
    </row>
    <row r="21" spans="1:9" ht="42" customHeight="1" x14ac:dyDescent="0.45">
      <c r="B21" s="70" t="s">
        <v>186</v>
      </c>
      <c r="C21" s="94" t="s">
        <v>187</v>
      </c>
      <c r="D21" s="94"/>
      <c r="E21" s="94"/>
      <c r="F21" s="94"/>
      <c r="G21" s="94"/>
      <c r="H21" s="94"/>
      <c r="I21" s="94"/>
    </row>
    <row r="22" spans="1:9" ht="42" customHeight="1" x14ac:dyDescent="0.45">
      <c r="B22" s="71" t="s">
        <v>188</v>
      </c>
      <c r="C22" s="95" t="s">
        <v>139</v>
      </c>
      <c r="D22" s="95"/>
      <c r="E22" s="95"/>
      <c r="F22" s="95"/>
      <c r="G22" s="95"/>
      <c r="H22" s="95"/>
      <c r="I22" s="95"/>
    </row>
    <row r="23" spans="1:9" ht="42" customHeight="1" x14ac:dyDescent="0.45">
      <c r="B23" s="70" t="s">
        <v>189</v>
      </c>
      <c r="C23" s="94" t="s">
        <v>190</v>
      </c>
      <c r="D23" s="94"/>
      <c r="E23" s="94"/>
      <c r="F23" s="94"/>
      <c r="G23" s="94"/>
      <c r="H23" s="94"/>
      <c r="I23" s="94"/>
    </row>
    <row r="25" spans="1:9" ht="19.5" customHeight="1" x14ac:dyDescent="0.45">
      <c r="A25" s="83" t="s">
        <v>140</v>
      </c>
      <c r="B25" s="83"/>
      <c r="C25" s="83"/>
      <c r="D25" s="83"/>
      <c r="E25" s="83"/>
      <c r="F25" s="83"/>
      <c r="G25" s="83"/>
      <c r="H25" s="83"/>
      <c r="I25" s="83"/>
    </row>
    <row r="26" spans="1:9" ht="30" customHeight="1" x14ac:dyDescent="0.45">
      <c r="B26" s="54" t="s">
        <v>141</v>
      </c>
      <c r="C26" s="54" t="s">
        <v>142</v>
      </c>
      <c r="D26" s="54" t="s">
        <v>143</v>
      </c>
      <c r="E26" s="54" t="s">
        <v>144</v>
      </c>
      <c r="F26" s="96" t="s">
        <v>67</v>
      </c>
      <c r="G26" s="96"/>
      <c r="H26" s="96"/>
      <c r="I26" s="96"/>
    </row>
    <row r="27" spans="1:9" ht="19.5" customHeight="1" x14ac:dyDescent="0.45">
      <c r="B27" s="72">
        <v>2024</v>
      </c>
      <c r="C27" s="73">
        <f>F15</f>
        <v>4553.0953600000003</v>
      </c>
      <c r="D27" s="74">
        <f>IFERROR((C27-$C$27)/$C$27,"-")</f>
        <v>0</v>
      </c>
      <c r="E27" s="75" t="s">
        <v>145</v>
      </c>
      <c r="F27" s="98" t="s">
        <v>146</v>
      </c>
      <c r="G27" s="98"/>
      <c r="H27" s="98"/>
      <c r="I27" s="98"/>
    </row>
    <row r="28" spans="1:9" ht="19.5" customHeight="1" x14ac:dyDescent="0.45">
      <c r="B28" s="76">
        <v>2025</v>
      </c>
      <c r="C28" s="77"/>
      <c r="D28" s="78" t="str">
        <f t="shared" ref="D28:D33" si="3">IF(C28="","-",(C28-$C$27)/$C$27)</f>
        <v>-</v>
      </c>
      <c r="E28" s="79" t="str">
        <f>IF(C28="","-",IF(D28&lt;=-'⚙️ Assumptions'!C37*(2025-2024)/6*(2024&lt;=2030),"✅ On Track","⚠️ Behind"))</f>
        <v>-</v>
      </c>
      <c r="F28" s="97"/>
      <c r="G28" s="97"/>
      <c r="H28" s="97"/>
      <c r="I28" s="97"/>
    </row>
    <row r="29" spans="1:9" ht="19.5" customHeight="1" x14ac:dyDescent="0.45">
      <c r="B29" s="80">
        <v>2026</v>
      </c>
      <c r="C29" s="77"/>
      <c r="D29" s="81" t="str">
        <f t="shared" si="3"/>
        <v>-</v>
      </c>
      <c r="E29" s="75" t="str">
        <f>IF(C29="","-",IF(D29&lt;=-'⚙️ Assumptions'!C37*(2026-2024)/6*(2024&lt;=2030),"✅ On Track","⚠️ Behind"))</f>
        <v>-</v>
      </c>
      <c r="F29" s="98"/>
      <c r="G29" s="98"/>
      <c r="H29" s="98"/>
      <c r="I29" s="98"/>
    </row>
    <row r="30" spans="1:9" ht="19.5" customHeight="1" x14ac:dyDescent="0.45">
      <c r="B30" s="76">
        <v>2027</v>
      </c>
      <c r="C30" s="77"/>
      <c r="D30" s="78" t="str">
        <f t="shared" si="3"/>
        <v>-</v>
      </c>
      <c r="E30" s="79" t="str">
        <f>IF(C30="","-",IF(D30&lt;=-'⚙️ Assumptions'!C37*(2027-2024)/6*(2024&lt;=2030),"✅ On Track","⚠️ Behind"))</f>
        <v>-</v>
      </c>
      <c r="F30" s="97" t="s">
        <v>147</v>
      </c>
      <c r="G30" s="97"/>
      <c r="H30" s="97"/>
      <c r="I30" s="97"/>
    </row>
    <row r="31" spans="1:9" ht="19.5" customHeight="1" x14ac:dyDescent="0.45">
      <c r="B31" s="80">
        <v>2028</v>
      </c>
      <c r="C31" s="77"/>
      <c r="D31" s="81" t="str">
        <f t="shared" si="3"/>
        <v>-</v>
      </c>
      <c r="E31" s="75" t="str">
        <f>IF(C31="","-",IF(D31&lt;=-'⚙️ Assumptions'!C37*(2028-2024)/6*(2024&lt;=2030),"✅ On Track","⚠️ Behind"))</f>
        <v>-</v>
      </c>
      <c r="F31" s="98"/>
      <c r="G31" s="98"/>
      <c r="H31" s="98"/>
      <c r="I31" s="98"/>
    </row>
    <row r="32" spans="1:9" ht="19.5" customHeight="1" x14ac:dyDescent="0.45">
      <c r="B32" s="76">
        <v>2029</v>
      </c>
      <c r="C32" s="77"/>
      <c r="D32" s="78" t="str">
        <f t="shared" si="3"/>
        <v>-</v>
      </c>
      <c r="E32" s="79" t="str">
        <f>IF(C32="","-",IF(D32&lt;=-'⚙️ Assumptions'!C37*(2029-2024)/6*(2024&lt;=2030),"✅ On Track","⚠️ Behind"))</f>
        <v>-</v>
      </c>
      <c r="F32" s="97"/>
      <c r="G32" s="97"/>
      <c r="H32" s="97"/>
      <c r="I32" s="97"/>
    </row>
    <row r="33" spans="2:9" ht="19.5" customHeight="1" x14ac:dyDescent="0.45">
      <c r="B33" s="80">
        <v>2030</v>
      </c>
      <c r="C33" s="77"/>
      <c r="D33" s="81" t="str">
        <f t="shared" si="3"/>
        <v>-</v>
      </c>
      <c r="E33" s="75" t="str">
        <f>IF(C33="","-",IF(D33&lt;=-'⚙️ Assumptions'!C37*(2030-2024)/6*(2024&lt;=2030),"✅ On Track","⚠️ Behind"))</f>
        <v>-</v>
      </c>
      <c r="F33" s="98" t="s">
        <v>148</v>
      </c>
      <c r="G33" s="98"/>
      <c r="H33" s="98"/>
      <c r="I33" s="98"/>
    </row>
  </sheetData>
  <mergeCells count="27">
    <mergeCell ref="F32:I32"/>
    <mergeCell ref="F33:I33"/>
    <mergeCell ref="F27:I27"/>
    <mergeCell ref="F28:I28"/>
    <mergeCell ref="F29:I29"/>
    <mergeCell ref="F30:I30"/>
    <mergeCell ref="F31:I31"/>
    <mergeCell ref="C21:I21"/>
    <mergeCell ref="C22:I22"/>
    <mergeCell ref="C23:I23"/>
    <mergeCell ref="A25:I25"/>
    <mergeCell ref="F26:I26"/>
    <mergeCell ref="B15:C15"/>
    <mergeCell ref="A17:I17"/>
    <mergeCell ref="C18:I18"/>
    <mergeCell ref="C19:I19"/>
    <mergeCell ref="C20:I20"/>
    <mergeCell ref="K10:K11"/>
    <mergeCell ref="L10:L11"/>
    <mergeCell ref="K12:K13"/>
    <mergeCell ref="L12:L13"/>
    <mergeCell ref="K14:L14"/>
    <mergeCell ref="A1:I1"/>
    <mergeCell ref="A6:I6"/>
    <mergeCell ref="K7:L7"/>
    <mergeCell ref="K8:K9"/>
    <mergeCell ref="L8:L9"/>
  </mergeCells>
  <conditionalFormatting sqref="F8:F14">
    <cfRule type="colorScale" priority="3">
      <colorScale>
        <cfvo type="min"/>
        <cfvo type="max"/>
        <color rgb="FFD8F3DC"/>
        <color rgb="FFFF4444"/>
      </colorScale>
    </cfRule>
  </conditionalFormatting>
  <conditionalFormatting sqref="J8:J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README</vt:lpstr>
      <vt:lpstr>⚙️ Assumptions</vt:lpstr>
      <vt:lpstr>🚢 Cat4 Transport</vt:lpstr>
      <vt:lpstr>🌾 Cat1 Materials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vimal ponnambalam</cp:lastModifiedBy>
  <cp:revision>0</cp:revision>
  <dcterms:created xsi:type="dcterms:W3CDTF">2026-06-04T06:01:42Z</dcterms:created>
  <dcterms:modified xsi:type="dcterms:W3CDTF">2026-06-10T07:13:17Z</dcterms:modified>
  <dc:language>en-US</dc:language>
</cp:coreProperties>
</file>